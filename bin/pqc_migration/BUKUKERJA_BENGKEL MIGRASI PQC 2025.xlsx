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rengacademy1337.sharepoint.com/sites/Project/Shared Documents/1. Projects/2025/ORG2025-80 - AGC (CDS SYNERGY)/9. ASSESSMENT/PQC/"/>
    </mc:Choice>
  </mc:AlternateContent>
  <xr:revisionPtr revIDLastSave="0" documentId="8_{16B43D02-774D-4B81-82B5-939D5FD5E01D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0_Inventory" sheetId="1" r:id="rId1"/>
    <sheet name="1_SBOM" sheetId="2" r:id="rId2"/>
    <sheet name="2_CBOM" sheetId="3" r:id="rId3"/>
    <sheet name="3_RiskRegister" sheetId="4" r:id="rId4"/>
    <sheet name="4_RiskAssessment" sheetId="7" r:id="rId5"/>
    <sheet name="5_RiskMatrix" sheetId="5" r:id="rId6"/>
    <sheet name="6_ProtocolCryptoMap" sheetId="8" r:id="rId7"/>
    <sheet name="00_ReadMe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7" l="1"/>
  <c r="H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tc={44DCE5AB-3BC1-485A-86BE-A4F2A1C5338E}</author>
    <author>tc={6B4B9AD2-30B4-4452-B89B-B2D9A496BCE5}</author>
  </authors>
  <commentList>
    <comment ref="C133" authorId="0" shapeId="0" xr:uid="{44DCE5AB-3BC1-485A-86BE-A4F2A1C5338E}">
      <text>
        <t>[Threaded comment]
Your version of Excel allows you to read this threaded comment; however, any edits to it will get removed if the file is opened in a newer version of Excel. Learn more: https://go.microsoft.com/fwlink/?linkid=870924
Comment:
    If ephemeral Diffie-Hellman (DHE) key exchange or its Elliptic Curve variant (ECDHE) is used, then a shared secret value obtained from the key agreement process is used. If RSA key exchange is used, then a random value generated by the client is used.</t>
      </text>
    </comment>
    <comment ref="G137" authorId="1" shapeId="0" xr:uid="{6B4B9AD2-30B4-4452-B89B-B2D9A496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32-byte long random values for (EC)DHE and 46-byte long values for RSA</t>
      </text>
    </comment>
  </commentList>
</comments>
</file>

<file path=xl/sharedStrings.xml><?xml version="1.0" encoding="utf-8"?>
<sst xmlns="http://schemas.openxmlformats.org/spreadsheetml/2006/main" count="1198" uniqueCount="593">
  <si>
    <t>Table 0 – Initial Inventory for PQC Readiness</t>
  </si>
  <si>
    <t>This table helps identify all cryptographic-related assets including hardware, firmware, operating systems, applications, and services. It is the first step before SBOM and CBOM analysis.</t>
  </si>
  <si>
    <t>#</t>
  </si>
  <si>
    <t>Asset Type</t>
  </si>
  <si>
    <t>Asset Name / Identifier</t>
  </si>
  <si>
    <t>Location / Owner</t>
  </si>
  <si>
    <t>Cryptographic Functionality Present?</t>
  </si>
  <si>
    <t>Examples of Algorithms Used</t>
  </si>
  <si>
    <t>SBOM/CBOM Available?</t>
  </si>
  <si>
    <t>Migration Readiness Level</t>
  </si>
  <si>
    <t>Notes / Action Items</t>
  </si>
  <si>
    <t>Hardware (HSM)</t>
  </si>
  <si>
    <t>Thales HSM Cluster</t>
  </si>
  <si>
    <t>Data Centre A</t>
  </si>
  <si>
    <t>Yes</t>
  </si>
  <si>
    <t>RSA, AES</t>
  </si>
  <si>
    <t>CBOM</t>
  </si>
  <si>
    <t>Low</t>
  </si>
  <si>
    <t>Engage vendor for PQC roadmap</t>
  </si>
  <si>
    <t>Firmware</t>
  </si>
  <si>
    <t>IoT Sensor Firmware v1.0</t>
  </si>
  <si>
    <t>Lab B - SmartSensor</t>
  </si>
  <si>
    <t>SHA-256, RSA-1024</t>
  </si>
  <si>
    <t>No</t>
  </si>
  <si>
    <t>Very Low</t>
  </si>
  <si>
    <t>Full crypto audit required</t>
  </si>
  <si>
    <t>Operating System</t>
  </si>
  <si>
    <t>Red Hat Linux 8.4</t>
  </si>
  <si>
    <t>Server 01</t>
  </si>
  <si>
    <t>AES, RSA, ECDSA</t>
  </si>
  <si>
    <t>SBOM</t>
  </si>
  <si>
    <t>Medium</t>
  </si>
  <si>
    <t>Collect package-level SBOM</t>
  </si>
  <si>
    <t>Hypervisor</t>
  </si>
  <si>
    <t>VMware ESXi 7.x</t>
  </si>
  <si>
    <t>Virtualisation Stack</t>
  </si>
  <si>
    <t>AES, RSA</t>
  </si>
  <si>
    <t>Check vendor crypto support</t>
  </si>
  <si>
    <t>Cloud Services</t>
  </si>
  <si>
    <t>AWS CloudHSM, KMS</t>
  </si>
  <si>
    <t>Cloud Infra Team</t>
  </si>
  <si>
    <t>Check AWS PQC timeline</t>
  </si>
  <si>
    <t>Application Stack</t>
  </si>
  <si>
    <t>E-mail Gateway (Postfix + OpenSSL)</t>
  </si>
  <si>
    <t>Network Ops Team</t>
  </si>
  <si>
    <t>RSA, SHA-2</t>
  </si>
  <si>
    <t>Proceed to SBOM &amp; CBOM analysis</t>
  </si>
  <si>
    <t>API Gateway</t>
  </si>
  <si>
    <t>NGINX + Lua plugin</t>
  </si>
  <si>
    <t>Internal Dev Team</t>
  </si>
  <si>
    <t>ECDSA, AES</t>
  </si>
  <si>
    <t>Enable crypto-agility in configuration</t>
  </si>
  <si>
    <t>Database</t>
  </si>
  <si>
    <t>PostgreSQL 14.2</t>
  </si>
  <si>
    <t>App DB Server</t>
  </si>
  <si>
    <t>Explore PQC-ready extensions</t>
  </si>
  <si>
    <t>Backup Appliance</t>
  </si>
  <si>
    <t>Veeam Backup</t>
  </si>
  <si>
    <t>DR Site</t>
  </si>
  <si>
    <t>AES-256</t>
  </si>
  <si>
    <t>Check HSM integration options</t>
  </si>
  <si>
    <t>Mobile Devices</t>
  </si>
  <si>
    <t>Staff App (Android/iOS)</t>
  </si>
  <si>
    <t>Mobile Dev Team</t>
  </si>
  <si>
    <t>AES, ECDSA</t>
  </si>
  <si>
    <t>Collaborate with mobile dev team</t>
  </si>
  <si>
    <t>Table 1 – Software Bill of Materials (SBOM)</t>
  </si>
  <si>
    <t>This table lists software components used in systems identified in Table 0, focusing on cryptographic usage within libraries and software packages.</t>
  </si>
  <si>
    <t>System / Application</t>
  </si>
  <si>
    <t>Purpose / Usage</t>
  </si>
  <si>
    <t>URL</t>
  </si>
  <si>
    <t>Services Mode</t>
  </si>
  <si>
    <t>Target Customer</t>
  </si>
  <si>
    <t>Software Component</t>
  </si>
  <si>
    <t>Third-party Modules</t>
  </si>
  <si>
    <t>External APIs or Services</t>
  </si>
  <si>
    <t>Critical Level</t>
  </si>
  <si>
    <t>Data Category</t>
  </si>
  <si>
    <t>Is the application/system currently in use?</t>
  </si>
  <si>
    <t>Application/System Developer</t>
  </si>
  <si>
    <t>Vendor's Name</t>
  </si>
  <si>
    <t>Does the agency have expertise?</t>
  </si>
  <si>
    <t>Does the agency have a special budget allocation?</t>
  </si>
  <si>
    <t>Link to CBOM</t>
  </si>
  <si>
    <t>E-mail Gateway</t>
  </si>
  <si>
    <t>Online</t>
  </si>
  <si>
    <t>G2C</t>
  </si>
  <si>
    <t>OpenSSL 3.0.2, Log4j 2.17.1</t>
  </si>
  <si>
    <t>Custom Login Module, Spring Security</t>
  </si>
  <si>
    <t>Google Maps API, MyIdentity (SSO)</t>
  </si>
  <si>
    <t>Sangat Tinggi</t>
  </si>
  <si>
    <t>Sulit</t>
  </si>
  <si>
    <t>Ya</t>
  </si>
  <si>
    <t>Vendor</t>
  </si>
  <si>
    <t>Tidak</t>
  </si>
  <si>
    <t>CBOM #1</t>
  </si>
  <si>
    <t>Internal API Server</t>
  </si>
  <si>
    <t>custom-auth-module.js</t>
  </si>
  <si>
    <t>2.3.0</t>
  </si>
  <si>
    <t>Internal</t>
  </si>
  <si>
    <t>CBOM #2</t>
  </si>
  <si>
    <t>VPN Server</t>
  </si>
  <si>
    <t>strongSwan</t>
  </si>
  <si>
    <t>5.9.1</t>
  </si>
  <si>
    <t>strongSwan Project</t>
  </si>
  <si>
    <t>CBOM #3</t>
  </si>
  <si>
    <t>Identity Management</t>
  </si>
  <si>
    <t>Java Keystore (JKS)</t>
  </si>
  <si>
    <t>JDK 11</t>
  </si>
  <si>
    <t>Oracle / OpenJDK</t>
  </si>
  <si>
    <t>CBOM #4</t>
  </si>
  <si>
    <t>Document Signing System</t>
  </si>
  <si>
    <t>Adobe Sign SDK</t>
  </si>
  <si>
    <t>Unknown</t>
  </si>
  <si>
    <t>Adobe</t>
  </si>
  <si>
    <t>CBOM #5</t>
  </si>
  <si>
    <t>IoT Sensor Gateway</t>
  </si>
  <si>
    <t>Firmware.bin (C code)</t>
  </si>
  <si>
    <t>v1.0</t>
  </si>
  <si>
    <t>CBOM #6</t>
  </si>
  <si>
    <t>Blockchain App</t>
  </si>
  <si>
    <t>Hyperledger Fabric</t>
  </si>
  <si>
    <t>2.2</t>
  </si>
  <si>
    <t>Linux Foundation</t>
  </si>
  <si>
    <t>CBOM #7</t>
  </si>
  <si>
    <t>Payment Gateway</t>
  </si>
  <si>
    <t>PCI HSM Firmware</t>
  </si>
  <si>
    <t>v3.0</t>
  </si>
  <si>
    <t>Vendor Confidential</t>
  </si>
  <si>
    <t>CBOM #8</t>
  </si>
  <si>
    <t>Table 2 – Cryptographic Bill of Materials (CBOM)</t>
  </si>
  <si>
    <t>This table provides a detailed view of cryptographic functions, algorithms used, and proposed PQC alternatives for each software component.</t>
  </si>
  <si>
    <t># (CBOM)</t>
  </si>
  <si>
    <t>Cryptographic Function</t>
  </si>
  <si>
    <t>Algorithm Used</t>
  </si>
  <si>
    <t>Library / Module</t>
  </si>
  <si>
    <t>Key Length</t>
  </si>
  <si>
    <t>Crypto-Agility Support</t>
  </si>
  <si>
    <t>Digital Signature</t>
  </si>
  <si>
    <t>RSA-2048</t>
  </si>
  <si>
    <t>OpenSSL</t>
  </si>
  <si>
    <t>2048-bit</t>
  </si>
  <si>
    <t>Email signing (S/MIME)</t>
  </si>
  <si>
    <t>Key Exchange</t>
  </si>
  <si>
    <t>ECDH (secp256r1)</t>
  </si>
  <si>
    <t>Node.js crypto</t>
  </si>
  <si>
    <t>256-bit</t>
  </si>
  <si>
    <t>TLS handshakes</t>
  </si>
  <si>
    <t>Partial</t>
  </si>
  <si>
    <t>Encryption / Key Exchange</t>
  </si>
  <si>
    <t>AES-GCM + DH</t>
  </si>
  <si>
    <t>Libgcrypt</t>
  </si>
  <si>
    <t>VPN data channel</t>
  </si>
  <si>
    <t>Signature / Key Management</t>
  </si>
  <si>
    <t>RSA-3072</t>
  </si>
  <si>
    <t>BouncyCastle</t>
  </si>
  <si>
    <t>3072-bit</t>
  </si>
  <si>
    <t>User auth</t>
  </si>
  <si>
    <t>ECDSA (P-256)</t>
  </si>
  <si>
    <t>Adobe SDK</t>
  </si>
  <si>
    <t>Legal document signing</t>
  </si>
  <si>
    <t>Firmware Signing</t>
  </si>
  <si>
    <t>RSA-1024, SHA-256</t>
  </si>
  <si>
    <t>Mbed TLS</t>
  </si>
  <si>
    <t>1024-bit</t>
  </si>
  <si>
    <t>Secure boot</t>
  </si>
  <si>
    <t>TLS, Signatures, Hash</t>
  </si>
  <si>
    <t>ECDSA, SHA-256</t>
  </si>
  <si>
    <t>Fabric SDK</t>
  </si>
  <si>
    <t>Block &amp; identity signing</t>
  </si>
  <si>
    <t>Encryption &amp; Signature</t>
  </si>
  <si>
    <t>HSM Firmware</t>
  </si>
  <si>
    <t>Mixed</t>
  </si>
  <si>
    <t>Transaction security</t>
  </si>
  <si>
    <t>Table 3 – Risk Register</t>
  </si>
  <si>
    <t>This table helps to identify the potential risk related to PQC migration</t>
  </si>
  <si>
    <t>Nama Sistem/ Perkakasan/Perisian</t>
  </si>
  <si>
    <t>Jenis Aset
Aplikasi/Perkakasan/Perisian</t>
  </si>
  <si>
    <t>Algoritma Kriptografi</t>
  </si>
  <si>
    <t>Kegunaan Algoritma Kriptografi</t>
  </si>
  <si>
    <t>Tahap Kritikal</t>
  </si>
  <si>
    <t>Risiko</t>
  </si>
  <si>
    <t>Pemilik Risiko</t>
  </si>
  <si>
    <t>Sistem Emel Dalaman</t>
  </si>
  <si>
    <t>RSA-2048, SHA-1</t>
  </si>
  <si>
    <t>Tandatangan Digital</t>
  </si>
  <si>
    <t>Kritikal</t>
  </si>
  <si>
    <t>Ketidakserasian Sistem Legacy dengan PQC</t>
  </si>
  <si>
    <t>BPM, TM</t>
  </si>
  <si>
    <t>Sistem e-Tanah</t>
  </si>
  <si>
    <t>RSA, TLS 1.2</t>
  </si>
  <si>
    <t>Pengesahan &amp; Tandatangan</t>
  </si>
  <si>
    <t>Tinggi</t>
  </si>
  <si>
    <t>Prestasi Sistem Merosot akibat Penggunaan PQC</t>
  </si>
  <si>
    <t>Table 4 – Risk &amp; Dependency Assessment:</t>
  </si>
  <si>
    <t>This table helps assess the potential impact if legacy cryptography remains in use, and the dependencies between systems/components.</t>
  </si>
  <si>
    <t>Punca Risiko</t>
  </si>
  <si>
    <t>Impak</t>
  </si>
  <si>
    <t>Kemungkinan
(Likelihood)</t>
  </si>
  <si>
    <t>Skor Risiko</t>
  </si>
  <si>
    <t>Risk Level</t>
  </si>
  <si>
    <t>Kawalan Sedia Ada</t>
  </si>
  <si>
    <t>Mitigation Plan</t>
  </si>
  <si>
    <t>Sistem/aplikasi sedia ada tidak menyokong algoritma PQC</t>
  </si>
  <si>
    <t>Risk Sangat Tinggi</t>
  </si>
  <si>
    <t>Penilaian awal keserasian sistem</t>
  </si>
  <si>
    <t>Ujian integrasi sistem PQC &amp; pelan mitigasi keserasian</t>
  </si>
  <si>
    <t>Overhead computational lebih tinggi dalam PQC</t>
  </si>
  <si>
    <t>Risiko Sangat Rendah</t>
  </si>
  <si>
    <t>Penilaian prestasi awal</t>
  </si>
  <si>
    <t>Optimasi algoritma &amp; upgrade infrastruktur jika perlu</t>
  </si>
  <si>
    <t>Table 5 – PQC Risk Scoring Matrix:</t>
  </si>
  <si>
    <t>This matrix quantifies risk based on impact and likelihood of quantum threats. Risk Score = Impact × Likelihood. Priority is based on resulting score.</t>
  </si>
  <si>
    <t>Impak / Kemungkinan</t>
  </si>
  <si>
    <t>Sangat Rendah 
(1)</t>
  </si>
  <si>
    <t>Rendah 
(2)</t>
  </si>
  <si>
    <t>Sederhana (3)</t>
  </si>
  <si>
    <t>Tinggi 
(4)</t>
  </si>
  <si>
    <t>Sangat Tinggi 
(5)</t>
  </si>
  <si>
    <t>KEPUTUSAN PENILAIAN RISIKO</t>
  </si>
  <si>
    <t>Sangat Tinggi (5)</t>
  </si>
  <si>
    <t>20 - 25</t>
  </si>
  <si>
    <t>Risiko Sangat Tinggi</t>
  </si>
  <si>
    <t>Migrasi segera, audit sistem, gantian algoritma</t>
  </si>
  <si>
    <t>Tinggi (4)</t>
  </si>
  <si>
    <t>15 - 19</t>
  </si>
  <si>
    <t>Risiko Tinggi</t>
  </si>
  <si>
    <t>Perancangan migrasi dan pilot ujian PQC</t>
  </si>
  <si>
    <t>10 - 14</t>
  </si>
  <si>
    <t>Risiko Sederhana</t>
  </si>
  <si>
    <t>Pemantauan berkala dan tindakan mitigasi jangka panjang.</t>
  </si>
  <si>
    <t>Rendah (2)</t>
  </si>
  <si>
    <t>5 - 9</t>
  </si>
  <si>
    <t>Risiko Rendah</t>
  </si>
  <si>
    <t>Perlu dipantau dan ditangani jika perlu.</t>
  </si>
  <si>
    <t>Sangat Rendah (1)</t>
  </si>
  <si>
    <t>1 - 4</t>
  </si>
  <si>
    <t>Risiko boleh diterima dan kawalan minimum</t>
  </si>
  <si>
    <t>RUJUKAN</t>
  </si>
  <si>
    <r>
      <rPr>
        <b/>
        <sz val="12"/>
        <color theme="1"/>
        <rFont val="Calibri"/>
        <family val="2"/>
        <scheme val="minor"/>
      </rPr>
      <t>Kemungkinan:</t>
    </r>
    <r>
      <rPr>
        <sz val="12"/>
        <color theme="1"/>
        <rFont val="Calibri"/>
        <family val="2"/>
        <scheme val="minor"/>
      </rPr>
      <t xml:space="preserve"> Merujuk kepada kemungkinan berlakunya risiko berdasarkan faktor-faktor seperti rekod sejarah, kelemahan yang dikenal pasti, dan kebarangkalian berdasarkan teknologi yang digunakan.</t>
    </r>
  </si>
  <si>
    <t>1-Sangat Rendah</t>
  </si>
  <si>
    <t>Kejadian hampir mustahil berlaku.</t>
  </si>
  <si>
    <t>2-Rendah</t>
  </si>
  <si>
    <t>Kejadian jarang berlaku.</t>
  </si>
  <si>
    <t>3-Sederhana</t>
  </si>
  <si>
    <t>Kejadian yang agak berkemungkinan berlaku.</t>
  </si>
  <si>
    <t>4-Tinggi</t>
  </si>
  <si>
    <t>Kejadian yang sangat berkemungkinan berlaku.</t>
  </si>
  <si>
    <t>5-Sangat Tinggi</t>
  </si>
  <si>
    <t>Kejadian yang sangat hampir pasti berlaku dalam masa terdekat.</t>
  </si>
  <si>
    <r>
      <rPr>
        <b/>
        <sz val="12"/>
        <color theme="1"/>
        <rFont val="Calibri"/>
        <family val="2"/>
        <scheme val="minor"/>
      </rPr>
      <t xml:space="preserve">Impak: </t>
    </r>
    <r>
      <rPr>
        <sz val="12"/>
        <color theme="1"/>
        <rFont val="Calibri"/>
        <family val="2"/>
        <scheme val="minor"/>
      </rPr>
      <t>Merujuk kepada kesan atau akibat daripada risiko tersebut terhadap organisasi atau aset kritikal seperti keselamatan data, operasi, dan pematuhan.</t>
    </r>
  </si>
  <si>
    <t>Kesan sangat kecil atau tidak memberi impak kepada operasi.</t>
  </si>
  <si>
    <t>Kesan kecil, mungkin menyebabkan sedikit gangguan tetapi tidak mengancam operasi.</t>
  </si>
  <si>
    <t>Kesan sederhana yang boleh menyebabkan gangguan operasi tetapi boleh diatasi.</t>
  </si>
  <si>
    <t>Kesan besar yang menyebabkan gangguan signifikan dan mungkin merosakkan operasi atau reputasi.</t>
  </si>
  <si>
    <t>Kesan yang sangat besar, boleh menyebabkan kegagalan operasi kritikal atau kerugian besar.</t>
  </si>
  <si>
    <t>Protocol</t>
  </si>
  <si>
    <t>Function</t>
  </si>
  <si>
    <t>Algorithm</t>
  </si>
  <si>
    <t>Associated Algorithms</t>
  </si>
  <si>
    <t>Key Type</t>
  </si>
  <si>
    <t>Naming in Protocol</t>
  </si>
  <si>
    <t>Key Size / Digest Size (est.)</t>
  </si>
  <si>
    <t>Dokumen berkaitan</t>
  </si>
  <si>
    <t>TLS 1.1</t>
  </si>
  <si>
    <t>Key Exchange (KE)</t>
  </si>
  <si>
    <t>RSA</t>
  </si>
  <si>
    <t>SHA-1, MD5</t>
  </si>
  <si>
    <t>Asymmetric</t>
  </si>
  <si>
    <t>TLS_RSA_WITH_NULL_MD5, TLS_RSA_WITH_NULL_SHA, TLS_RSA_WITH_RC4_128_MD5, TLS_RSA_WITH_RC4_128_SHA, TLS_RSA_WITH_IDEA_CBC_SHA, TLS_RSA_WITH_DES_CBC_SHA, TLS_RSA_WITH_3DES_EDE_CBC_SHA</t>
  </si>
  <si>
    <t>1024 bits</t>
  </si>
  <si>
    <t>https://datatracker.ietf.org/doc/html/rfc4346</t>
  </si>
  <si>
    <t>DH</t>
  </si>
  <si>
    <t>DHE_DSS, DHE_RSA, DH_anon</t>
  </si>
  <si>
    <t>Encryption (ENC)</t>
  </si>
  <si>
    <t>AES</t>
  </si>
  <si>
    <t>Symmetric</t>
  </si>
  <si>
    <t>AES_128_CBC</t>
  </si>
  <si>
    <t>128 bits</t>
  </si>
  <si>
    <t>3DES</t>
  </si>
  <si>
    <t>3DES_EDE_CBC</t>
  </si>
  <si>
    <t>168 bits</t>
  </si>
  <si>
    <t>IDEA</t>
  </si>
  <si>
    <t>IDEA_CBC</t>
  </si>
  <si>
    <t>64 bits</t>
  </si>
  <si>
    <t>RC4</t>
  </si>
  <si>
    <t>RC4_128</t>
  </si>
  <si>
    <t>RC2</t>
  </si>
  <si>
    <t>RC2_CBC_40</t>
  </si>
  <si>
    <t>40 bits</t>
  </si>
  <si>
    <t>HMAC</t>
  </si>
  <si>
    <t>HMAC-SHA1</t>
  </si>
  <si>
    <t>HMAC_SHA1</t>
  </si>
  <si>
    <t>160 bits</t>
  </si>
  <si>
    <t>MD5</t>
  </si>
  <si>
    <t>HMAC_MD5</t>
  </si>
  <si>
    <t>Signatures (SIG)</t>
  </si>
  <si>
    <t>TLS_DH_RSA_WITH_DES_CBC_SHA, TLS_DH_RSA_WITH_3DES_EDE_CBC_SHA, TLS_DHE_RSA_WITH_DES_CBC_SHA, TLS_DHE_RSA_WITH_3DES_EDE_CBC_SHA</t>
  </si>
  <si>
    <t>36 byte (288 bits)</t>
  </si>
  <si>
    <t>DSS</t>
  </si>
  <si>
    <t>TLS_DH_DSS_WITH_DES_CBC_SHA, TLS_DH_DSS_WITH_3DES_EDE_CBC_SHA, TLS_DHE_DSS_WITH_DES_CBC_SHA, TLS_DHE_DSS_WITH_3DES_EDE_CBC_SHA</t>
  </si>
  <si>
    <t>Authentication</t>
  </si>
  <si>
    <t>X.509 Certs</t>
  </si>
  <si>
    <t>SubjectPublicKeyInfo</t>
  </si>
  <si>
    <t>Varies</t>
  </si>
  <si>
    <t>TLS 1.2</t>
  </si>
  <si>
    <t>TLS_RSA_WITH_AES_256_GCM_SHA384</t>
  </si>
  <si>
    <t>2048–4096 bits</t>
  </si>
  <si>
    <t>https://datatracker.ietf.org/doc/html/rfc5246</t>
  </si>
  <si>
    <t>TLS_DH_RSA_WITH_AES_128_CBC_SHA</t>
  </si>
  <si>
    <t>2048 bits</t>
  </si>
  <si>
    <t>ECDHE</t>
  </si>
  <si>
    <t>TLS_ECDHE_RSA_WITH_AES_128_GCM_SHA256</t>
  </si>
  <si>
    <t>256 bits</t>
  </si>
  <si>
    <t>DHE</t>
  </si>
  <si>
    <t>TLS_DHE_RSA_WITH_AES_128_GCM_SHA256</t>
  </si>
  <si>
    <t>AES_128_CBC, AES_256_CBC</t>
  </si>
  <si>
    <t>128–256 bits</t>
  </si>
  <si>
    <t>3DES (S)</t>
  </si>
  <si>
    <t>ChaCha20</t>
  </si>
  <si>
    <t>ChaCha20-Poly1305</t>
  </si>
  <si>
    <t>MAC</t>
  </si>
  <si>
    <t>HMAC-SHA</t>
  </si>
  <si>
    <t>HMAC-SHA256</t>
  </si>
  <si>
    <t>HMAC_SHA256</t>
  </si>
  <si>
    <t>RSA-SHA256</t>
  </si>
  <si>
    <t>ECDSA</t>
  </si>
  <si>
    <t>ECDSA-SHA256</t>
  </si>
  <si>
    <t>Certificate field</t>
  </si>
  <si>
    <t>https://datatracker.ietf.org/doc/html/rfc5280</t>
  </si>
  <si>
    <t>TLS 1.3</t>
  </si>
  <si>
    <t>P-256, P-384, P-521</t>
  </si>
  <si>
    <t>TLS_AES_128_GCM_SHA256</t>
  </si>
  <si>
    <t>AES-GCM</t>
  </si>
  <si>
    <t>https://datatracker.ietf.org/doc/html/rfc8446#section-6.3</t>
  </si>
  <si>
    <t>TLS_CHACHA20_POLY1305_SHA256</t>
  </si>
  <si>
    <t>https://datatracker.ietf.org/doc/html/rfc8439</t>
  </si>
  <si>
    <t>Poly1305 (with ChaCha20)</t>
  </si>
  <si>
    <t>CHACHA20_POLY1305</t>
  </si>
  <si>
    <t>RSA-PSS</t>
  </si>
  <si>
    <t>SHA-256, SHA-384, SHA-512</t>
  </si>
  <si>
    <t>rsa_pss_rsae_sha256</t>
  </si>
  <si>
    <t xml:space="preserve">SHA-256, SHA-384 or SHA-512
</t>
  </si>
  <si>
    <t>ecdsa_secp256r1_sha256</t>
  </si>
  <si>
    <t>subjectPublicKeyInfo</t>
  </si>
  <si>
    <t>IPSec</t>
  </si>
  <si>
    <t>DH/ECDH (A)</t>
  </si>
  <si>
    <t>ESP/AH headers: Encryption Algorithm, Integrity Algorithm, DH Group</t>
  </si>
  <si>
    <t>AES (S)</t>
  </si>
  <si>
    <t>https://datatracker.ietf.org/doc/html/rfc6071</t>
  </si>
  <si>
    <t>Integrity / MAC (MAC/INT)</t>
  </si>
  <si>
    <t>HMAC-SHA1/2 (S)</t>
  </si>
  <si>
    <t>Depends on hash (e.g., 256 bits for SHA-256)</t>
  </si>
  <si>
    <t>Authentication (AUTH)</t>
  </si>
  <si>
    <t>RSA certs (A)</t>
  </si>
  <si>
    <t>PSK (S)</t>
  </si>
  <si>
    <t>SSH</t>
  </si>
  <si>
    <t>kex, cipher, mac, hostkey</t>
  </si>
  <si>
    <t>AES-128 , AES 256</t>
  </si>
  <si>
    <t>https://datatracker.ietf.org/doc/html/rfc6668</t>
  </si>
  <si>
    <t>ChaCha20 (S)</t>
  </si>
  <si>
    <t>ChaCha20-poly1305</t>
  </si>
  <si>
    <t>RFC 8439 - ChaCha20 and Poly1305 for IETF Protocols</t>
  </si>
  <si>
    <t>HMAC (S)</t>
  </si>
  <si>
    <t>SHA-256 , SHA-512</t>
  </si>
  <si>
    <t>RFC 6668 - SHA-2 Data Integrity Verification for the Secure Shell (SSH) Transport Layer Protocol</t>
  </si>
  <si>
    <t>RSA (A)</t>
  </si>
  <si>
    <t>ECDSA (A)</t>
  </si>
  <si>
    <t>https://nvlpubs.nist.gov/nistpubs/FIPS/NIST.FIPS.186-5.pdf</t>
  </si>
  <si>
    <t>Ed25519 (A)</t>
  </si>
  <si>
    <t>SHA-512</t>
  </si>
  <si>
    <t>Password (S)</t>
  </si>
  <si>
    <t>Varies / Protocol-defined</t>
  </si>
  <si>
    <t>thesis.pdf</t>
  </si>
  <si>
    <t>Pubkey (A)</t>
  </si>
  <si>
    <t>https://datatracker.ietf.org/doc/html/rfc4252</t>
  </si>
  <si>
    <t>OpenPGP</t>
  </si>
  <si>
    <t>ElGamal (A)</t>
  </si>
  <si>
    <t>Public-Key Algorithm, Symmetric Algorithm, Digest Algorithm</t>
  </si>
  <si>
    <t>https://datatracker.ietf.org/doc/html/rfc4880</t>
  </si>
  <si>
    <t>DH (A)</t>
  </si>
  <si>
    <t>AES-128, AES-192, AES-256</t>
  </si>
  <si>
    <t>Camellia (S)</t>
  </si>
  <si>
    <t>Camellia-128, Camellia-192, Camellia-256</t>
  </si>
  <si>
    <t>Twofish</t>
  </si>
  <si>
    <t>Twofish-256</t>
  </si>
  <si>
    <t>SHA-2, SHA-3</t>
  </si>
  <si>
    <t>SHA2-224, 256, 384, 512, SHA3-256, 512</t>
  </si>
  <si>
    <t>DSA (A)</t>
  </si>
  <si>
    <t>SHA-1</t>
  </si>
  <si>
    <t>Sig verification (A)</t>
  </si>
  <si>
    <t>S/MIME</t>
  </si>
  <si>
    <t>AES-128,256 GCM, AES-128 CBC</t>
  </si>
  <si>
    <t>EncryptionAlgorithm, DigestAlgorithm, SignatureAlgorithm</t>
  </si>
  <si>
    <t>128,256 bits</t>
  </si>
  <si>
    <t>https://datatracker.ietf.org/doc/html/rfc8551#section-3.3</t>
  </si>
  <si>
    <t>SHA2/3 (S usage)</t>
  </si>
  <si>
    <t>SHA-256, SHA-1</t>
  </si>
  <si>
    <t>RSA, RSASSA-PSS, RSAES-OAEP (Key Pair Generation, Signature Generation, Signature Verification, Encryption, Decryption)</t>
  </si>
  <si>
    <t>2048 - 4096 bits</t>
  </si>
  <si>
    <t>Curve P-256, SHA-256</t>
  </si>
  <si>
    <t>Signature Generation, Signature Verification</t>
  </si>
  <si>
    <t>X.509 certs (A)</t>
  </si>
  <si>
    <t>SMIMEEncryptionKeyPreference (Selection of Recipient Key Management Certificate)</t>
  </si>
  <si>
    <t>Signal</t>
  </si>
  <si>
    <t>X3DH: Curve25519 (A)</t>
  </si>
  <si>
    <t>X3DH, AES256_CTR, HMAC_SHA256, Curve25519</t>
  </si>
  <si>
    <t>https://medium.com/@janelle.wg/demystifying-the-signal-protocol-for-end-to-end-encryption-c93250e6043e</t>
  </si>
  <si>
    <t>AES-CTR (S)</t>
  </si>
  <si>
    <t>HMAC-SHA256 (S)</t>
  </si>
  <si>
    <t>Identity keys Curve25519 (A)</t>
  </si>
  <si>
    <t xml:space="preserve"> Curve25519</t>
  </si>
  <si>
    <t>Kerberos</t>
  </si>
  <si>
    <t xml:space="preserve">AES 128-bit and AES 256-bit </t>
  </si>
  <si>
    <t>AES256, AES128</t>
  </si>
  <si>
    <t>https://learn.microsoft.com/en-us/previous-versions/windows/it-pro/windows-10/security/threat-protection/security-policy-settings/network-security-configure-encryption-types-allowed-for-kerberos</t>
  </si>
  <si>
    <t>DES (S)</t>
  </si>
  <si>
    <t>DES_CBC</t>
  </si>
  <si>
    <t>56 bits</t>
  </si>
  <si>
    <t>RFC 4120</t>
  </si>
  <si>
    <t>DES3-KD, DES3-CBC</t>
  </si>
  <si>
    <t>192 bits</t>
  </si>
  <si>
    <t>HMAC-SHA1 (S)</t>
  </si>
  <si>
    <t>HMAC_SHA1_96</t>
  </si>
  <si>
    <t>96 bits</t>
  </si>
  <si>
    <t>Tickets/password-derived keys (S); PKINIT certs (A optional)</t>
  </si>
  <si>
    <t>Mixed (S core)</t>
  </si>
  <si>
    <t>etype, ticket, authenticator</t>
  </si>
  <si>
    <t>https://datatracker.ietf.org/doc/html/rfc8636</t>
  </si>
  <si>
    <t>WireGuard</t>
  </si>
  <si>
    <t>Curve25519 (A)</t>
  </si>
  <si>
    <t>https://datatracker.ietf.org/doc/html/rfc7748</t>
  </si>
  <si>
    <t>Poly1305</t>
  </si>
  <si>
    <t>noise protocol, peer public key, handshake</t>
  </si>
  <si>
    <t>WireGuard: Next Generation Kernel Network Tunnel</t>
  </si>
  <si>
    <t>Poly1305 (S)</t>
  </si>
  <si>
    <t>Static public keys (A)</t>
  </si>
  <si>
    <t>Curve25519</t>
  </si>
  <si>
    <t>256-bits</t>
  </si>
  <si>
    <t>Zigbee</t>
  </si>
  <si>
    <t>AES-CCM (S)</t>
  </si>
  <si>
    <t>CBC-MAC</t>
  </si>
  <si>
    <t>AES-CCM*, MIC, Key Transport</t>
  </si>
  <si>
    <t>ZigBee Security: Basics (Part 2) – Kudelski Security Research</t>
  </si>
  <si>
    <t>AES-CCM MIC (S)</t>
  </si>
  <si>
    <t>AES‑CCM</t>
  </si>
  <si>
    <t>AN1233: Zigbee Security</t>
  </si>
  <si>
    <t>Network/Link keys (S)</t>
  </si>
  <si>
    <t>AES‑CTR</t>
  </si>
  <si>
    <t>WPA2 / WPA3</t>
  </si>
  <si>
    <t>SAE (A-style)</t>
  </si>
  <si>
    <t>SAE, CCMP, PMK, PTK, GTK</t>
  </si>
  <si>
    <t>https://www.wi-fi.org/system/files/WPA3%20Specification%20v3.4.pdf , https://datatracker.ietf.org/doc/html/rfc7664</t>
  </si>
  <si>
    <t>https://standards.ieee.org/ieee/802.11i/3127</t>
  </si>
  <si>
    <t>AES-CCMP (S)</t>
  </si>
  <si>
    <t>https://datatracker.ietf.org/doc/html/rfc4309</t>
  </si>
  <si>
    <t>HMAC-SHA256, SAE</t>
  </si>
  <si>
    <t>IEEE 802.11w, IEEE 802.11-2016/2020</t>
  </si>
  <si>
    <t>Passphrase/PSK (S)</t>
  </si>
  <si>
    <t>SAE creds (A-PAKE)</t>
  </si>
  <si>
    <t>DNSSEC</t>
  </si>
  <si>
    <t>RRSIG, DNSKEY, DS, NSEC</t>
  </si>
  <si>
    <t>P-256 and SHA-256, and ECDSA with curve P-384 and SHA-384</t>
  </si>
  <si>
    <t>https://datatracker.ietf.org/doc/html/rfc6605</t>
  </si>
  <si>
    <t>EdDSA (A)</t>
  </si>
  <si>
    <t>SHAKE-256</t>
  </si>
  <si>
    <t>https://datatracker.ietf.org/doc/html/rfc8080#section-6.2</t>
  </si>
  <si>
    <t>DNSKEY/RRSIG validation (A)</t>
  </si>
  <si>
    <t>https://datatracker.ietf.org/doc/html/rfc4034</t>
  </si>
  <si>
    <t>QUIC (TLS 1.3)</t>
  </si>
  <si>
    <t>ECDHE (A)</t>
  </si>
  <si>
    <t>inherits TLS naming (e.g., TLS_AES_128_GCM_SHA256)</t>
  </si>
  <si>
    <t>AES-GCM (S)</t>
  </si>
  <si>
    <t>AEAD, used in TLS 1.3</t>
  </si>
  <si>
    <t>[2405.09264] A Quantum of QUIC: Dissecting Cryptography with Post-Quantum Insights</t>
  </si>
  <si>
    <t>ChaCha20-Poly1305 (S)</t>
  </si>
  <si>
    <t>AEAD, for low-power devices</t>
  </si>
  <si>
    <t>https://datatracker.ietf.org/doc/html/rfc8446</t>
  </si>
  <si>
    <t>AEAD tags (S)</t>
  </si>
  <si>
    <t>Certs (A)</t>
  </si>
  <si>
    <t>Bitcoin</t>
  </si>
  <si>
    <t>secp256k1</t>
  </si>
  <si>
    <t>pubkey, scriptPubKey, sigHash</t>
  </si>
  <si>
    <t>https://datatracker.ietf.org/doc/html/rfc6090</t>
  </si>
  <si>
    <t>Ownership via signs (A)</t>
  </si>
  <si>
    <t>Tor</t>
  </si>
  <si>
    <t>create cell, relay cell, onion</t>
  </si>
  <si>
    <t>https://datatracker.ietf.org/doc/html/rfc3526</t>
  </si>
  <si>
    <t>RSAES-PKCS1-v1_5, RSASSA-PKCS1-v1_5</t>
  </si>
  <si>
    <t>https://datatracker.ietf.org/doc/html/rfc8017</t>
  </si>
  <si>
    <t>AES-128 CTR</t>
  </si>
  <si>
    <t>https://datatracker.ietf.org/doc/html/rfc3268</t>
  </si>
  <si>
    <t>SHA1 digest / TLS MACs (S usage)</t>
  </si>
  <si>
    <t>Onion handshake keys (A)</t>
  </si>
  <si>
    <t>iMessage</t>
  </si>
  <si>
    <t>X25519</t>
  </si>
  <si>
    <t>key bags, envelope encryption</t>
  </si>
  <si>
    <t>https://datatracker.ietf.org/doc/html/rfc2104</t>
  </si>
  <si>
    <t>Apple ID cert chain (A)</t>
  </si>
  <si>
    <t>RSA, ECDSA</t>
  </si>
  <si>
    <t>OAuth / OIDC</t>
  </si>
  <si>
    <t>HMAC (S; JWT HS256)</t>
  </si>
  <si>
    <t>JWT, id_token, access_token</t>
  </si>
  <si>
    <t>https://datatracker.ietf.org/doc/html/rfc7519#section-7.1</t>
  </si>
  <si>
    <t>RS256, RS384, RS512</t>
  </si>
  <si>
    <t>https://datatracker.ietf.org/doc/html/rfc7518</t>
  </si>
  <si>
    <t>ES256, ES384, ES512</t>
  </si>
  <si>
    <t>Ed25519, Ed448</t>
  </si>
  <si>
    <t>https://datatracker.ietf.org/doc/html/rfc8037</t>
  </si>
  <si>
    <t>HS256, HS384, HS512</t>
  </si>
  <si>
    <t>Tokens: client secret (S) or JWK (A)</t>
  </si>
  <si>
    <t>https://datatracker.ietf.org/doc/html/rfc6749</t>
  </si>
  <si>
    <t>FIDO2 / WebAuthn</t>
  </si>
  <si>
    <t>Hash (S usage)</t>
  </si>
  <si>
    <t>attestation, assertion, credID</t>
  </si>
  <si>
    <t>https://developers.yubico.com/python-fido2/API_Documentation/autoapi/fido2/webauthn/index.html</t>
  </si>
  <si>
    <t>ECDSA secp256k1 SHA-256</t>
  </si>
  <si>
    <t>ES256</t>
  </si>
  <si>
    <t>https://datatracker.ietf.org/doc/html/draft-ietf-cose-webauthn-algorithms-01</t>
  </si>
  <si>
    <t>https://developers.yubico.com/WebAuthn/Concepts/Using_WebAuthn_for_Signing.html</t>
  </si>
  <si>
    <t>Public-key assertions (A)</t>
  </si>
  <si>
    <t>https://en.wikipedia.org/wiki/WebAuthn</t>
  </si>
  <si>
    <t>MACsec</t>
  </si>
  <si>
    <t>SAK, SCI, PN, SecTAG</t>
  </si>
  <si>
    <t>https://ieeexplore.ieee.org/abstract/document/9044731</t>
  </si>
  <si>
    <t>AES-GCM tag (S)</t>
  </si>
  <si>
    <t>PSK / 802.1X creds (S/A depending backend)</t>
  </si>
  <si>
    <t>https://info.support.huawei.com/info-finder/encyclopedia/en/MACsec.html</t>
  </si>
  <si>
    <t>OpenVPN</t>
  </si>
  <si>
    <t>TLS-auth, cipher, auth, key-direction</t>
  </si>
  <si>
    <t>https://datatracker.ietf.org/doc/html/rfc2409, https://datatracker.ietf.org/doc/html/rfc8422</t>
  </si>
  <si>
    <t>easy-rsa</t>
  </si>
  <si>
    <t>https://openvpn.net/community-docs/setting-up-your-own-certificate-authority--ca--and-generating-certificates-and-keys-for-an-openvpn-server-and-multiple-clients.html</t>
  </si>
  <si>
    <t>CBC/GCM/HMAC-SHA256</t>
  </si>
  <si>
    <t>NIST SP 800-38, RFC2104</t>
  </si>
  <si>
    <t>HMAC-SHA1 or HMAC-SHA256</t>
  </si>
  <si>
    <t>RFC6367</t>
  </si>
  <si>
    <t>SHA-1/SHA-256/SHA-512</t>
  </si>
  <si>
    <t>RFC3174, RFC 6234</t>
  </si>
  <si>
    <t>md5WithRSAEncryption</t>
  </si>
  <si>
    <t xml:space="preserve">https://openvpn.net/connect-docs/md5-signature-algorithm-support.html </t>
  </si>
  <si>
    <t>Static key (S) or TLS certs (A) or HMAC using SHA1</t>
  </si>
  <si>
    <t>https://openvpn.net/community-resources/reference-manual-for-openvpn-2-4/</t>
  </si>
  <si>
    <t>DTLS</t>
  </si>
  <si>
    <t>(EC)DHE/RSA (A)</t>
  </si>
  <si>
    <t>DTLS-SRTP keying, cipher suite, MAC</t>
  </si>
  <si>
    <t>https://www.redhat.com/en/blog/understanding-dtls-all-zero-clienthellorandom-vulnerability#:~:text=Figure%201:%20DTLS%201.2%20handshake,also%20use%20the%20random%20nonces:</t>
  </si>
  <si>
    <t>128-256</t>
  </si>
  <si>
    <t>RFC 9147</t>
  </si>
  <si>
    <t>AES(S)</t>
  </si>
  <si>
    <t>AES-GCM, AES-CCM</t>
  </si>
  <si>
    <t>HMAC/Poly1305 (S)</t>
  </si>
  <si>
    <t>RSA/ECDSA (A)</t>
  </si>
  <si>
    <t>32–46 byte</t>
  </si>
  <si>
    <t>Certs/PSK (A/S)</t>
  </si>
  <si>
    <t>plain PSK, (EC)DHE_PSK, and RSA_PSK</t>
  </si>
  <si>
    <t>📘 PQC Migration Master Workbook – Usage Guidelines</t>
  </si>
  <si>
    <t>🎯 Purpose:</t>
  </si>
  <si>
    <t>This workbook is designed to support the national or organisational effort in migrating from traditional cryptographic algorithms to post-quantum cryptography (PQC), in line with NIST standards.</t>
  </si>
  <si>
    <t>📂 Sheet Overview &amp; Usage Steps:</t>
  </si>
  <si>
    <t>1. Table 0 – Initial Inventory:</t>
  </si>
  <si>
    <t xml:space="preserve">   - Identify cryptographic assets including hardware, firmware, operating systems, and applications.</t>
  </si>
  <si>
    <t xml:space="preserve">   - Determine readiness and required actions.</t>
  </si>
  <si>
    <t>2. Table 1 – SBOM (Software Bill of Materials):</t>
  </si>
  <si>
    <t xml:space="preserve">   - List software components and identify use of cryptographic libraries.</t>
  </si>
  <si>
    <t xml:space="preserve">   - Link to corresponding CBOM entries.</t>
  </si>
  <si>
    <t>3. Table 2 – CBOM (Cryptographic Bill of Materials):</t>
  </si>
  <si>
    <t xml:space="preserve">   - Document cryptographic algorithms, key lengths, libraries, and purpose.</t>
  </si>
  <si>
    <t xml:space="preserve">   - Suggest PQC replacements based on NIST standards.</t>
  </si>
  <si>
    <t>4. Table 3 – Risk Register</t>
  </si>
  <si>
    <t xml:space="preserve">   - Identify risk related PQC migration</t>
  </si>
  <si>
    <t>5. Table 4 – Risk &amp; Dependency Assessment:</t>
  </si>
  <si>
    <t xml:space="preserve">   - Assess risk if system remains with quantum-vulnerable algorithms.</t>
  </si>
  <si>
    <t xml:space="preserve">   - Identify internal/external dependencies and migration barriers.</t>
  </si>
  <si>
    <t>6. Table 5 – PQC Risk Scoring Matrix:</t>
  </si>
  <si>
    <t xml:space="preserve">   - Assign Impact (1–5) and Likelihood (1–5) to each system.</t>
  </si>
  <si>
    <t xml:space="preserve">   - Skor Risiko = Impact × Likelihood.</t>
  </si>
  <si>
    <t xml:space="preserve">   - Refer to matrix for prioritising migration.</t>
  </si>
  <si>
    <t>7. Table 6 - Protocol Cryptographic Mapping</t>
  </si>
  <si>
    <t xml:space="preserve">    - Map cryptographic usage in protocols: function, algorithm, key size, related RFCs/documents.</t>
  </si>
  <si>
    <t>📊 Risk Interpretation:</t>
  </si>
  <si>
    <t xml:space="preserve">   - Score 1–4: Risiko Sangat Rendah</t>
  </si>
  <si>
    <t xml:space="preserve">   - Score 5–9: Risiko Rendah</t>
  </si>
  <si>
    <t xml:space="preserve">   - Score 10–14: Risiko Sederhana</t>
  </si>
  <si>
    <t xml:space="preserve">   - Score 15–19: Risiko Tinggi</t>
  </si>
  <si>
    <t xml:space="preserve">   - Score 20–25: Risiko Sangat Tinggi</t>
  </si>
  <si>
    <t>🧭 Recommended Workflow:</t>
  </si>
  <si>
    <t xml:space="preserve">   1. Start with Inventory (Table 0)</t>
  </si>
  <si>
    <t xml:space="preserve">   2. Proceed to SBOM and CBOM (Tables 1 &amp; 2)</t>
  </si>
  <si>
    <t xml:space="preserve">   3. Identify Risk Related PQC Migration (Risk Register)(Table 3)</t>
  </si>
  <si>
    <t xml:space="preserve">   4. Conduct Risk Assessment (Table 4)</t>
  </si>
  <si>
    <t xml:space="preserve">   5. Calculate Risk Scores (Table 5)</t>
  </si>
  <si>
    <t xml:space="preserve">   6. Build your migration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</si>
</sst>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/>
    <xf numFmtId="0" fontId="1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1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1" fillId="1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49" fontId="5" fillId="17" borderId="4" xfId="0" applyNumberFormat="1" applyFont="1" applyFill="1" applyBorder="1" applyAlignment="1">
      <alignment horizontal="center" vertical="center" wrapText="1"/>
    </xf>
    <xf numFmtId="49" fontId="5" fillId="18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19" borderId="4" xfId="0" applyNumberFormat="1" applyFont="1" applyFill="1" applyBorder="1" applyAlignment="1">
      <alignment horizontal="center" vertical="center" wrapText="1"/>
    </xf>
    <xf numFmtId="49" fontId="5" fillId="20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49" fontId="2" fillId="0" borderId="0" xfId="0" applyNumberFormat="1" applyFont="1" applyAlignment="1">
      <alignment horizontal="center" vertical="center" wrapText="1"/>
    </xf>
    <xf numFmtId="0" fontId="5" fillId="14" borderId="4" xfId="0" applyFont="1" applyFill="1" applyBorder="1" applyAlignment="1">
      <alignment vertical="center" wrapText="1"/>
    </xf>
    <xf numFmtId="0" fontId="5" fillId="16" borderId="4" xfId="0" applyFont="1" applyFill="1" applyBorder="1" applyAlignment="1">
      <alignment vertical="center" wrapText="1"/>
    </xf>
    <xf numFmtId="0" fontId="2" fillId="0" borderId="0" xfId="0" quotePrefix="1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4" xfId="0" applyBorder="1" applyAlignment="1">
      <alignment vertical="center"/>
    </xf>
    <xf numFmtId="0" fontId="10" fillId="0" borderId="14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1" borderId="25" xfId="0" applyFill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3" fillId="0" borderId="2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9" fillId="16" borderId="10" xfId="0" applyFont="1" applyFill="1" applyBorder="1" applyAlignment="1">
      <alignment vertical="center" wrapText="1"/>
    </xf>
    <xf numFmtId="0" fontId="9" fillId="16" borderId="10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13" fillId="0" borderId="30" xfId="0" applyFont="1" applyBorder="1" applyAlignment="1">
      <alignment vertical="center"/>
    </xf>
    <xf numFmtId="0" fontId="9" fillId="16" borderId="12" xfId="0" applyFont="1" applyFill="1" applyBorder="1" applyAlignment="1">
      <alignment horizontal="center" vertical="center" wrapText="1"/>
    </xf>
    <xf numFmtId="0" fontId="11" fillId="0" borderId="16" xfId="1" applyBorder="1" applyAlignment="1">
      <alignment horizontal="left" vertical="center" wrapText="1"/>
    </xf>
    <xf numFmtId="0" fontId="0" fillId="0" borderId="32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1" fillId="0" borderId="16" xfId="1" applyBorder="1" applyAlignment="1">
      <alignment vertical="center" wrapText="1"/>
    </xf>
    <xf numFmtId="0" fontId="11" fillId="0" borderId="19" xfId="1" applyBorder="1" applyAlignment="1">
      <alignment vertical="center" wrapText="1"/>
    </xf>
    <xf numFmtId="0" fontId="11" fillId="0" borderId="20" xfId="1" applyBorder="1" applyAlignment="1">
      <alignment vertical="center" wrapText="1"/>
    </xf>
    <xf numFmtId="0" fontId="11" fillId="0" borderId="13" xfId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0" fontId="0" fillId="0" borderId="16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1" fillId="0" borderId="13" xfId="1" applyBorder="1" applyAlignment="1">
      <alignment horizontal="left" vertical="center" wrapText="1"/>
    </xf>
    <xf numFmtId="0" fontId="11" fillId="0" borderId="16" xfId="1" applyBorder="1" applyAlignment="1">
      <alignment horizontal="left" vertical="center" wrapText="1"/>
    </xf>
    <xf numFmtId="0" fontId="11" fillId="0" borderId="19" xfId="1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11" fillId="0" borderId="20" xfId="1" applyBorder="1" applyAlignment="1">
      <alignment horizontal="left" vertical="center" wrapText="1"/>
    </xf>
    <xf numFmtId="0" fontId="11" fillId="0" borderId="16" xfId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DD5027D2-F035-4BA7-A5AF-D03D4E63FE1D}" userId="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3" dT="2025-07-22T00:43:33.35" personId="{DD5027D2-F035-4BA7-A5AF-D03D4E63FE1D}" id="{44DCE5AB-3BC1-485A-86BE-A4F2A1C5338E}">
    <text>If ephemeral Diffie-Hellman (DHE) key exchange or its Elliptic Curve variant (ECDHE) is used, then a shared secret value obtained from the key agreement process is used. If RSA key exchange is used, then a random value generated by the client is used.</text>
  </threadedComment>
  <threadedComment ref="G137" dT="2025-07-22T00:44:27.06" personId="{DD5027D2-F035-4BA7-A5AF-D03D4E63FE1D}" id="{6B4B9AD2-30B4-4452-B89B-B2D9A496BCE5}">
    <text>32-byte long random values for (EC)DHE and 46-byte long values for RSA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reguard.com/papers/wireguard.pdf" TargetMode="External"/><Relationship Id="rId18" Type="http://schemas.openxmlformats.org/officeDocument/2006/relationships/hyperlink" Target="https://datatracker.ietf.org/doc/html/rfc4252" TargetMode="External"/><Relationship Id="rId26" Type="http://schemas.openxmlformats.org/officeDocument/2006/relationships/hyperlink" Target="https://datatracker.ietf.org/doc/html/rfc5246" TargetMode="External"/><Relationship Id="rId39" Type="http://schemas.openxmlformats.org/officeDocument/2006/relationships/hyperlink" Target="https://datatracker.ietf.org/doc/html/rfc3526" TargetMode="External"/><Relationship Id="rId21" Type="http://schemas.openxmlformats.org/officeDocument/2006/relationships/hyperlink" Target="https://datatracker.ietf.org/doc/html/rfc4880" TargetMode="External"/><Relationship Id="rId34" Type="http://schemas.openxmlformats.org/officeDocument/2006/relationships/hyperlink" Target="https://arxiv.org/abs/2405.09264" TargetMode="External"/><Relationship Id="rId42" Type="http://schemas.openxmlformats.org/officeDocument/2006/relationships/hyperlink" Target="https://datatracker.ietf.org/doc/html/rfc6605" TargetMode="External"/><Relationship Id="rId47" Type="http://schemas.openxmlformats.org/officeDocument/2006/relationships/hyperlink" Target="https://openvpn.net/connect-docs/md5-signature-algorithm-support.html" TargetMode="External"/><Relationship Id="rId50" Type="http://schemas.openxmlformats.org/officeDocument/2006/relationships/hyperlink" Target="https://openvpn.net/community-docs/setting-up-your-own-certificate-authority--ca--and-generating-certificates-and-keys-for-an-openvpn-server-and-multiple-clients.html" TargetMode="External"/><Relationship Id="rId55" Type="http://schemas.openxmlformats.org/officeDocument/2006/relationships/hyperlink" Target="https://developers.yubico.com/python-fido2/API_Documentation/autoapi/fido2/webauthn/index.html" TargetMode="External"/><Relationship Id="rId63" Type="http://schemas.openxmlformats.org/officeDocument/2006/relationships/comments" Target="../comments1.xml"/><Relationship Id="rId7" Type="http://schemas.openxmlformats.org/officeDocument/2006/relationships/hyperlink" Target="https://datatracker.ietf.org/doc/html/rfc4880" TargetMode="External"/><Relationship Id="rId2" Type="http://schemas.openxmlformats.org/officeDocument/2006/relationships/hyperlink" Target="https://datatracker.ietf.org/doc/html/rfc8551" TargetMode="External"/><Relationship Id="rId16" Type="http://schemas.openxmlformats.org/officeDocument/2006/relationships/hyperlink" Target="https://www.redhat.com/en/blog/understanding-dtls-all-zero-clienthellorandom-vulnerability" TargetMode="External"/><Relationship Id="rId29" Type="http://schemas.openxmlformats.org/officeDocument/2006/relationships/hyperlink" Target="https://datatracker.ietf.org/doc/html/rfc7518" TargetMode="External"/><Relationship Id="rId11" Type="http://schemas.openxmlformats.org/officeDocument/2006/relationships/hyperlink" Target="https://www.wi-fi.org/system/files/WPA3%20Specification%20v3.4.pdf%20,%20https:/datatracker.ietf.org/doc/html/rfc7664" TargetMode="External"/><Relationship Id="rId24" Type="http://schemas.openxmlformats.org/officeDocument/2006/relationships/hyperlink" Target="https://www.silabs.com/documents/public/application-notes/an1233-zigbee-security.pdf" TargetMode="External"/><Relationship Id="rId32" Type="http://schemas.openxmlformats.org/officeDocument/2006/relationships/hyperlink" Target="https://datatracker.ietf.org/doc/html/rfc7518" TargetMode="External"/><Relationship Id="rId37" Type="http://schemas.openxmlformats.org/officeDocument/2006/relationships/hyperlink" Target="https://datatracker.ietf.org/doc/html/rfc2104" TargetMode="External"/><Relationship Id="rId40" Type="http://schemas.openxmlformats.org/officeDocument/2006/relationships/hyperlink" Target="https://datatracker.ietf.org/doc/html/rfc8017" TargetMode="External"/><Relationship Id="rId45" Type="http://schemas.openxmlformats.org/officeDocument/2006/relationships/hyperlink" Target="https://datatracker.ietf.org/doc/html/rfc5246" TargetMode="External"/><Relationship Id="rId53" Type="http://schemas.openxmlformats.org/officeDocument/2006/relationships/hyperlink" Target="https://datatracker.ietf.org/doc/html/rfc8446" TargetMode="External"/><Relationship Id="rId58" Type="http://schemas.openxmlformats.org/officeDocument/2006/relationships/hyperlink" Target="https://info.support.huawei.com/info-finder/encyclopedia/en/MACsec.html" TargetMode="External"/><Relationship Id="rId5" Type="http://schemas.openxmlformats.org/officeDocument/2006/relationships/hyperlink" Target="https://nvlpubs.nist.gov/nistpubs/FIPS/NIST.FIPS.186-5.pdf" TargetMode="External"/><Relationship Id="rId61" Type="http://schemas.openxmlformats.org/officeDocument/2006/relationships/hyperlink" Target="https://medium.com/@janelle.wg/demystifying-the-signal-protocol-for-end-to-end-encryption-c93250e6043e" TargetMode="External"/><Relationship Id="rId19" Type="http://schemas.openxmlformats.org/officeDocument/2006/relationships/hyperlink" Target="https://datatracker.ietf.org/doc/html/rfc2409,%20https:/datatracker.ietf.org/doc/html/rfc8422" TargetMode="External"/><Relationship Id="rId14" Type="http://schemas.openxmlformats.org/officeDocument/2006/relationships/hyperlink" Target="https://www.redhat.com/en/blog/understanding-dtls-all-zero-clienthellorandom-vulnerability" TargetMode="External"/><Relationship Id="rId22" Type="http://schemas.openxmlformats.org/officeDocument/2006/relationships/hyperlink" Target="https://datatracker.ietf.org/doc/html/rfc7519" TargetMode="External"/><Relationship Id="rId27" Type="http://schemas.openxmlformats.org/officeDocument/2006/relationships/hyperlink" Target="https://datatracker.ietf.org/doc/html/rfc4346" TargetMode="External"/><Relationship Id="rId30" Type="http://schemas.openxmlformats.org/officeDocument/2006/relationships/hyperlink" Target="https://datatracker.ietf.org/doc/html/rfc7518" TargetMode="External"/><Relationship Id="rId35" Type="http://schemas.openxmlformats.org/officeDocument/2006/relationships/hyperlink" Target="https://datatracker.ietf.org/doc/html/rfc7748" TargetMode="External"/><Relationship Id="rId43" Type="http://schemas.openxmlformats.org/officeDocument/2006/relationships/hyperlink" Target="https://datatracker.ietf.org/doc/html/rfc5246" TargetMode="External"/><Relationship Id="rId48" Type="http://schemas.openxmlformats.org/officeDocument/2006/relationships/hyperlink" Target="https://datatracker.ietf.org/doc/html/rfc5280" TargetMode="External"/><Relationship Id="rId56" Type="http://schemas.openxmlformats.org/officeDocument/2006/relationships/hyperlink" Target="https://en.wikipedia.org/wiki/WebAuthn" TargetMode="External"/><Relationship Id="rId64" Type="http://schemas.microsoft.com/office/2017/10/relationships/threadedComment" Target="../threadedComments/threadedComment1.xml"/><Relationship Id="rId8" Type="http://schemas.openxmlformats.org/officeDocument/2006/relationships/hyperlink" Target="https://datatracker.ietf.org/doc/html/rfc7748" TargetMode="External"/><Relationship Id="rId51" Type="http://schemas.openxmlformats.org/officeDocument/2006/relationships/hyperlink" Target="https://developers.yubico.com/WebAuthn/Concepts/Using_WebAuthn_for_Signing.html" TargetMode="External"/><Relationship Id="rId3" Type="http://schemas.openxmlformats.org/officeDocument/2006/relationships/hyperlink" Target="https://datatracker.ietf.org/doc/html/rfc6668" TargetMode="External"/><Relationship Id="rId12" Type="http://schemas.openxmlformats.org/officeDocument/2006/relationships/hyperlink" Target="https://himsen.github.io/pdf/thesis.pdf" TargetMode="External"/><Relationship Id="rId17" Type="http://schemas.openxmlformats.org/officeDocument/2006/relationships/hyperlink" Target="https://datatracker.ietf.org/doc/html/draft-ietf-cose-webauthn-algorithms-01" TargetMode="External"/><Relationship Id="rId25" Type="http://schemas.openxmlformats.org/officeDocument/2006/relationships/hyperlink" Target="https://datatracker.ietf.org/doc/html/rfc3268" TargetMode="External"/><Relationship Id="rId33" Type="http://schemas.openxmlformats.org/officeDocument/2006/relationships/hyperlink" Target="https://datatracker.ietf.org/doc/html/rfc6749" TargetMode="External"/><Relationship Id="rId38" Type="http://schemas.openxmlformats.org/officeDocument/2006/relationships/hyperlink" Target="https://openvpn.net/community-resources/reference-manual-for-openvpn-2-4/" TargetMode="External"/><Relationship Id="rId46" Type="http://schemas.openxmlformats.org/officeDocument/2006/relationships/hyperlink" Target="https://datatracker.ietf.org/doc/html/rfc5246" TargetMode="External"/><Relationship Id="rId59" Type="http://schemas.openxmlformats.org/officeDocument/2006/relationships/hyperlink" Target="https://learn.microsoft.com/en-us/previous-versions/windows/it-pro/windows-10/security/threat-protection/security-policy-settings/network-security-configure-encryption-types-allowed-for-kerberos" TargetMode="External"/><Relationship Id="rId20" Type="http://schemas.openxmlformats.org/officeDocument/2006/relationships/hyperlink" Target="https://standards.ieee.org/ieee/802.11i/3127" TargetMode="External"/><Relationship Id="rId41" Type="http://schemas.openxmlformats.org/officeDocument/2006/relationships/hyperlink" Target="https://datatracker.ietf.org/doc/html/rfc6090" TargetMode="External"/><Relationship Id="rId54" Type="http://schemas.openxmlformats.org/officeDocument/2006/relationships/hyperlink" Target="https://datatracker.ietf.org/doc/html/rfc8439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s://datatracker.ietf.org/doc/html/rfc6071" TargetMode="External"/><Relationship Id="rId6" Type="http://schemas.openxmlformats.org/officeDocument/2006/relationships/hyperlink" Target="https://datatracker.ietf.org/doc/html/rfc6668" TargetMode="External"/><Relationship Id="rId15" Type="http://schemas.openxmlformats.org/officeDocument/2006/relationships/hyperlink" Target="https://www.redhat.com/en/blog/understanding-dtls-all-zero-clienthellorandom-vulnerability" TargetMode="External"/><Relationship Id="rId23" Type="http://schemas.openxmlformats.org/officeDocument/2006/relationships/hyperlink" Target="https://research.kudelskisecurity.com/2017/11/08/zigbee-security-basics-part-2/" TargetMode="External"/><Relationship Id="rId28" Type="http://schemas.openxmlformats.org/officeDocument/2006/relationships/hyperlink" Target="https://www.wi-fi.org/system/files/WPA3%20Specification%20v3.4.pdf%20,%20https:/datatracker.ietf.org/doc/html/rfc7664" TargetMode="External"/><Relationship Id="rId36" Type="http://schemas.openxmlformats.org/officeDocument/2006/relationships/hyperlink" Target="https://datatracker.ietf.org/doc/html/rfc8446" TargetMode="External"/><Relationship Id="rId49" Type="http://schemas.openxmlformats.org/officeDocument/2006/relationships/hyperlink" Target="https://datatracker.ietf.org/doc/html/rfc4034" TargetMode="External"/><Relationship Id="rId57" Type="http://schemas.openxmlformats.org/officeDocument/2006/relationships/hyperlink" Target="https://datatracker.ietf.org/doc/html/rfc8636" TargetMode="External"/><Relationship Id="rId10" Type="http://schemas.openxmlformats.org/officeDocument/2006/relationships/hyperlink" Target="https://datatracker.ietf.org/doc/html/rfc4309" TargetMode="External"/><Relationship Id="rId31" Type="http://schemas.openxmlformats.org/officeDocument/2006/relationships/hyperlink" Target="https://datatracker.ietf.org/doc/html/rfc8037" TargetMode="External"/><Relationship Id="rId44" Type="http://schemas.openxmlformats.org/officeDocument/2006/relationships/hyperlink" Target="https://datatracker.ietf.org/doc/html/rfc8080" TargetMode="External"/><Relationship Id="rId52" Type="http://schemas.openxmlformats.org/officeDocument/2006/relationships/hyperlink" Target="https://ieeexplore.ieee.org/abstract/document/9044731" TargetMode="External"/><Relationship Id="rId60" Type="http://schemas.openxmlformats.org/officeDocument/2006/relationships/hyperlink" Target="https://medium.com/@janelle.wg/demystifying-the-signal-protocol-for-end-to-end-encryption-c93250e6043e" TargetMode="External"/><Relationship Id="rId4" Type="http://schemas.openxmlformats.org/officeDocument/2006/relationships/hyperlink" Target="https://datatracker.ietf.org/doc/html/rfc7748" TargetMode="External"/><Relationship Id="rId9" Type="http://schemas.openxmlformats.org/officeDocument/2006/relationships/hyperlink" Target="https://datatracker.ietf.org/doc/html/rfc8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93" workbookViewId="0">
      <selection activeCell="G16" sqref="G16"/>
    </sheetView>
  </sheetViews>
  <sheetFormatPr defaultColWidth="9.109375" defaultRowHeight="15.6" x14ac:dyDescent="0.3"/>
  <cols>
    <col min="1" max="1" width="8.109375" style="37" customWidth="1"/>
    <col min="2" max="2" width="19" style="3" customWidth="1"/>
    <col min="3" max="3" width="36" style="3" customWidth="1"/>
    <col min="4" max="4" width="22" style="3" customWidth="1"/>
    <col min="5" max="5" width="38" style="32" customWidth="1"/>
    <col min="6" max="6" width="29" style="3" customWidth="1"/>
    <col min="7" max="7" width="25" style="3" bestFit="1" customWidth="1"/>
    <col min="8" max="8" width="27" style="3" customWidth="1"/>
    <col min="9" max="9" width="40" style="3" customWidth="1"/>
    <col min="10" max="16384" width="9.109375" style="3"/>
  </cols>
  <sheetData>
    <row r="1" spans="1:9" x14ac:dyDescent="0.3">
      <c r="A1" s="2" t="s">
        <v>0</v>
      </c>
    </row>
    <row r="2" spans="1:9" x14ac:dyDescent="0.3">
      <c r="A2" s="33" t="s">
        <v>1</v>
      </c>
    </row>
    <row r="3" spans="1:9" x14ac:dyDescent="0.3">
      <c r="A3" s="33"/>
    </row>
    <row r="4" spans="1:9" x14ac:dyDescent="0.3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</row>
    <row r="5" spans="1:9" x14ac:dyDescent="0.3">
      <c r="A5" s="35">
        <v>1</v>
      </c>
      <c r="B5" s="24" t="s">
        <v>11</v>
      </c>
      <c r="C5" s="24" t="s">
        <v>12</v>
      </c>
      <c r="D5" s="24" t="s">
        <v>13</v>
      </c>
      <c r="E5" s="36" t="s">
        <v>14</v>
      </c>
      <c r="F5" s="24" t="s">
        <v>15</v>
      </c>
      <c r="G5" s="24" t="s">
        <v>16</v>
      </c>
      <c r="H5" s="24" t="s">
        <v>17</v>
      </c>
      <c r="I5" s="24" t="s">
        <v>18</v>
      </c>
    </row>
    <row r="6" spans="1:9" x14ac:dyDescent="0.3">
      <c r="A6" s="35">
        <v>2</v>
      </c>
      <c r="B6" s="24" t="s">
        <v>19</v>
      </c>
      <c r="C6" s="24" t="s">
        <v>20</v>
      </c>
      <c r="D6" s="24" t="s">
        <v>21</v>
      </c>
      <c r="E6" s="36" t="s">
        <v>14</v>
      </c>
      <c r="F6" s="24" t="s">
        <v>22</v>
      </c>
      <c r="G6" s="24" t="s">
        <v>23</v>
      </c>
      <c r="H6" s="24" t="s">
        <v>24</v>
      </c>
      <c r="I6" s="24" t="s">
        <v>25</v>
      </c>
    </row>
    <row r="7" spans="1:9" x14ac:dyDescent="0.3">
      <c r="A7" s="35">
        <v>3</v>
      </c>
      <c r="B7" s="24" t="s">
        <v>26</v>
      </c>
      <c r="C7" s="24" t="s">
        <v>27</v>
      </c>
      <c r="D7" s="24" t="s">
        <v>28</v>
      </c>
      <c r="E7" s="36" t="s">
        <v>14</v>
      </c>
      <c r="F7" s="24" t="s">
        <v>29</v>
      </c>
      <c r="G7" s="24" t="s">
        <v>30</v>
      </c>
      <c r="H7" s="24" t="s">
        <v>31</v>
      </c>
      <c r="I7" s="24" t="s">
        <v>32</v>
      </c>
    </row>
    <row r="8" spans="1:9" x14ac:dyDescent="0.3">
      <c r="A8" s="35">
        <v>4</v>
      </c>
      <c r="B8" s="24" t="s">
        <v>33</v>
      </c>
      <c r="C8" s="24" t="s">
        <v>34</v>
      </c>
      <c r="D8" s="24" t="s">
        <v>35</v>
      </c>
      <c r="E8" s="36" t="s">
        <v>14</v>
      </c>
      <c r="F8" s="24" t="s">
        <v>36</v>
      </c>
      <c r="G8" s="24" t="s">
        <v>23</v>
      </c>
      <c r="H8" s="24" t="s">
        <v>17</v>
      </c>
      <c r="I8" s="24" t="s">
        <v>37</v>
      </c>
    </row>
    <row r="9" spans="1:9" x14ac:dyDescent="0.3">
      <c r="A9" s="35">
        <v>5</v>
      </c>
      <c r="B9" s="24" t="s">
        <v>38</v>
      </c>
      <c r="C9" s="24" t="s">
        <v>39</v>
      </c>
      <c r="D9" s="24" t="s">
        <v>40</v>
      </c>
      <c r="E9" s="36" t="s">
        <v>14</v>
      </c>
      <c r="F9" s="24" t="s">
        <v>29</v>
      </c>
      <c r="G9" s="24" t="s">
        <v>14</v>
      </c>
      <c r="H9" s="24" t="s">
        <v>31</v>
      </c>
      <c r="I9" s="24" t="s">
        <v>41</v>
      </c>
    </row>
    <row r="10" spans="1:9" x14ac:dyDescent="0.3">
      <c r="A10" s="35">
        <v>6</v>
      </c>
      <c r="B10" s="24" t="s">
        <v>42</v>
      </c>
      <c r="C10" s="24" t="s">
        <v>43</v>
      </c>
      <c r="D10" s="24" t="s">
        <v>44</v>
      </c>
      <c r="E10" s="36" t="s">
        <v>14</v>
      </c>
      <c r="F10" s="24" t="s">
        <v>45</v>
      </c>
      <c r="G10" s="24" t="s">
        <v>14</v>
      </c>
      <c r="H10" s="24" t="s">
        <v>31</v>
      </c>
      <c r="I10" s="24" t="s">
        <v>46</v>
      </c>
    </row>
    <row r="11" spans="1:9" x14ac:dyDescent="0.3">
      <c r="A11" s="35">
        <v>7</v>
      </c>
      <c r="B11" s="24" t="s">
        <v>47</v>
      </c>
      <c r="C11" s="24" t="s">
        <v>48</v>
      </c>
      <c r="D11" s="24" t="s">
        <v>49</v>
      </c>
      <c r="E11" s="36" t="s">
        <v>14</v>
      </c>
      <c r="F11" s="24" t="s">
        <v>50</v>
      </c>
      <c r="G11" s="24" t="s">
        <v>14</v>
      </c>
      <c r="H11" s="24" t="s">
        <v>31</v>
      </c>
      <c r="I11" s="24" t="s">
        <v>51</v>
      </c>
    </row>
    <row r="12" spans="1:9" x14ac:dyDescent="0.3">
      <c r="A12" s="35">
        <v>8</v>
      </c>
      <c r="B12" s="24" t="s">
        <v>52</v>
      </c>
      <c r="C12" s="24" t="s">
        <v>53</v>
      </c>
      <c r="D12" s="24" t="s">
        <v>54</v>
      </c>
      <c r="E12" s="36" t="s">
        <v>14</v>
      </c>
      <c r="F12" s="24" t="s">
        <v>36</v>
      </c>
      <c r="G12" s="24" t="s">
        <v>23</v>
      </c>
      <c r="H12" s="24" t="s">
        <v>17</v>
      </c>
      <c r="I12" s="24" t="s">
        <v>55</v>
      </c>
    </row>
    <row r="13" spans="1:9" x14ac:dyDescent="0.3">
      <c r="A13" s="35">
        <v>9</v>
      </c>
      <c r="B13" s="24" t="s">
        <v>56</v>
      </c>
      <c r="C13" s="24" t="s">
        <v>57</v>
      </c>
      <c r="D13" s="24" t="s">
        <v>58</v>
      </c>
      <c r="E13" s="36" t="s">
        <v>14</v>
      </c>
      <c r="F13" s="24" t="s">
        <v>59</v>
      </c>
      <c r="G13" s="24" t="s">
        <v>23</v>
      </c>
      <c r="H13" s="24" t="s">
        <v>17</v>
      </c>
      <c r="I13" s="24" t="s">
        <v>60</v>
      </c>
    </row>
    <row r="14" spans="1:9" x14ac:dyDescent="0.3">
      <c r="A14" s="35">
        <v>10</v>
      </c>
      <c r="B14" s="24" t="s">
        <v>61</v>
      </c>
      <c r="C14" s="24" t="s">
        <v>62</v>
      </c>
      <c r="D14" s="24" t="s">
        <v>63</v>
      </c>
      <c r="E14" s="36" t="s">
        <v>14</v>
      </c>
      <c r="F14" s="24" t="s">
        <v>64</v>
      </c>
      <c r="G14" s="24" t="s">
        <v>30</v>
      </c>
      <c r="H14" s="24" t="s">
        <v>31</v>
      </c>
      <c r="I14" s="24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abSelected="1" zoomScale="91" workbookViewId="0">
      <selection activeCell="I27" sqref="I27"/>
    </sheetView>
  </sheetViews>
  <sheetFormatPr defaultColWidth="8.88671875" defaultRowHeight="15.6" x14ac:dyDescent="0.3"/>
  <cols>
    <col min="1" max="1" width="7.5546875" style="3" customWidth="1"/>
    <col min="2" max="6" width="25" style="3" customWidth="1"/>
    <col min="7" max="7" width="24.5546875" style="3" customWidth="1"/>
    <col min="8" max="8" width="20.88671875" style="3" customWidth="1"/>
    <col min="9" max="9" width="25.33203125" style="3" bestFit="1" customWidth="1"/>
    <col min="10" max="11" width="22.88671875" style="3" customWidth="1"/>
    <col min="12" max="12" width="27" style="3" customWidth="1"/>
    <col min="13" max="15" width="20" style="3" customWidth="1"/>
    <col min="16" max="16" width="20.6640625" style="3" customWidth="1"/>
    <col min="17" max="17" width="14" style="3" customWidth="1"/>
    <col min="18" max="16384" width="8.88671875" style="3"/>
  </cols>
  <sheetData>
    <row r="1" spans="1:17" x14ac:dyDescent="0.3">
      <c r="A1" s="1" t="s">
        <v>66</v>
      </c>
    </row>
    <row r="2" spans="1:17" x14ac:dyDescent="0.3">
      <c r="A2" s="4" t="s">
        <v>67</v>
      </c>
      <c r="J2" s="5"/>
      <c r="K2" s="5"/>
      <c r="L2" s="6"/>
      <c r="M2" s="6"/>
      <c r="N2" s="7"/>
      <c r="O2" s="10"/>
      <c r="P2" s="10"/>
    </row>
    <row r="3" spans="1:17" x14ac:dyDescent="0.3">
      <c r="A3" s="4"/>
    </row>
    <row r="4" spans="1:17" ht="46.8" x14ac:dyDescent="0.3">
      <c r="A4" s="11" t="s">
        <v>2</v>
      </c>
      <c r="B4" s="11" t="s">
        <v>68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2" t="s">
        <v>76</v>
      </c>
      <c r="K4" s="12" t="s">
        <v>77</v>
      </c>
      <c r="L4" s="12" t="s">
        <v>78</v>
      </c>
      <c r="M4" s="12" t="s">
        <v>79</v>
      </c>
      <c r="N4" s="12" t="s">
        <v>80</v>
      </c>
      <c r="O4" s="12" t="s">
        <v>81</v>
      </c>
      <c r="P4" s="12" t="s">
        <v>82</v>
      </c>
      <c r="Q4" s="11" t="s">
        <v>83</v>
      </c>
    </row>
    <row r="5" spans="1:17" ht="46.8" x14ac:dyDescent="0.3">
      <c r="A5" s="13">
        <v>1</v>
      </c>
      <c r="B5" s="13" t="s">
        <v>84</v>
      </c>
      <c r="C5" s="13"/>
      <c r="D5" s="13"/>
      <c r="E5" s="14" t="s">
        <v>85</v>
      </c>
      <c r="F5" s="15" t="s">
        <v>86</v>
      </c>
      <c r="G5" s="16" t="s">
        <v>87</v>
      </c>
      <c r="H5" s="16" t="s">
        <v>88</v>
      </c>
      <c r="I5" s="16" t="s">
        <v>89</v>
      </c>
      <c r="J5" s="17" t="s">
        <v>90</v>
      </c>
      <c r="K5" s="18" t="s">
        <v>91</v>
      </c>
      <c r="L5" s="19" t="s">
        <v>92</v>
      </c>
      <c r="M5" s="20" t="s">
        <v>93</v>
      </c>
      <c r="N5" s="13"/>
      <c r="O5" s="21" t="s">
        <v>94</v>
      </c>
      <c r="P5" s="22" t="s">
        <v>92</v>
      </c>
      <c r="Q5" s="13" t="s">
        <v>95</v>
      </c>
    </row>
    <row r="6" spans="1:17" x14ac:dyDescent="0.3">
      <c r="A6" s="13">
        <v>2</v>
      </c>
      <c r="B6" s="13" t="s">
        <v>96</v>
      </c>
      <c r="C6" s="13"/>
      <c r="D6" s="13"/>
      <c r="E6" s="13"/>
      <c r="F6" s="13"/>
      <c r="G6" s="13" t="s">
        <v>97</v>
      </c>
      <c r="H6" s="13" t="s">
        <v>98</v>
      </c>
      <c r="I6" s="13" t="s">
        <v>99</v>
      </c>
      <c r="J6" s="13"/>
      <c r="K6" s="13"/>
      <c r="L6" s="13"/>
      <c r="M6" s="13"/>
      <c r="N6" s="13"/>
      <c r="O6" s="13"/>
      <c r="P6" s="13"/>
      <c r="Q6" s="13" t="s">
        <v>100</v>
      </c>
    </row>
    <row r="7" spans="1:17" x14ac:dyDescent="0.3">
      <c r="A7" s="13">
        <v>3</v>
      </c>
      <c r="B7" s="13" t="s">
        <v>101</v>
      </c>
      <c r="C7" s="13"/>
      <c r="D7" s="13"/>
      <c r="E7" s="13"/>
      <c r="F7" s="13"/>
      <c r="G7" s="13" t="s">
        <v>102</v>
      </c>
      <c r="H7" s="13" t="s">
        <v>103</v>
      </c>
      <c r="I7" s="13" t="s">
        <v>104</v>
      </c>
      <c r="J7" s="13"/>
      <c r="K7" s="13"/>
      <c r="L7" s="13"/>
      <c r="M7" s="13"/>
      <c r="N7" s="13"/>
      <c r="O7" s="13"/>
      <c r="P7" s="13"/>
      <c r="Q7" s="13" t="s">
        <v>105</v>
      </c>
    </row>
    <row r="8" spans="1:17" x14ac:dyDescent="0.3">
      <c r="A8" s="13">
        <v>4</v>
      </c>
      <c r="B8" s="13" t="s">
        <v>106</v>
      </c>
      <c r="C8" s="13"/>
      <c r="D8" s="13"/>
      <c r="E8" s="13"/>
      <c r="F8" s="13"/>
      <c r="G8" s="13" t="s">
        <v>107</v>
      </c>
      <c r="H8" s="13" t="s">
        <v>108</v>
      </c>
      <c r="I8" s="13" t="s">
        <v>109</v>
      </c>
      <c r="J8" s="13"/>
      <c r="K8" s="13"/>
      <c r="L8" s="13"/>
      <c r="M8" s="13"/>
      <c r="N8" s="13"/>
      <c r="O8" s="13"/>
      <c r="P8" s="13"/>
      <c r="Q8" s="13" t="s">
        <v>110</v>
      </c>
    </row>
    <row r="9" spans="1:17" x14ac:dyDescent="0.3">
      <c r="A9" s="13">
        <v>5</v>
      </c>
      <c r="B9" s="13" t="s">
        <v>111</v>
      </c>
      <c r="C9" s="13"/>
      <c r="D9" s="13"/>
      <c r="E9" s="13"/>
      <c r="F9" s="13"/>
      <c r="G9" s="13" t="s">
        <v>112</v>
      </c>
      <c r="H9" s="13" t="s">
        <v>113</v>
      </c>
      <c r="I9" s="13" t="s">
        <v>114</v>
      </c>
      <c r="J9" s="13"/>
      <c r="K9" s="13"/>
      <c r="L9" s="13"/>
      <c r="M9" s="13"/>
      <c r="N9" s="13"/>
      <c r="O9" s="13"/>
      <c r="P9" s="13"/>
      <c r="Q9" s="13" t="s">
        <v>115</v>
      </c>
    </row>
    <row r="10" spans="1:17" x14ac:dyDescent="0.3">
      <c r="A10" s="13">
        <v>6</v>
      </c>
      <c r="B10" s="13" t="s">
        <v>116</v>
      </c>
      <c r="C10" s="13"/>
      <c r="D10" s="13"/>
      <c r="E10" s="13"/>
      <c r="F10" s="13"/>
      <c r="G10" s="13" t="s">
        <v>117</v>
      </c>
      <c r="H10" s="13" t="s">
        <v>118</v>
      </c>
      <c r="I10" s="13" t="s">
        <v>99</v>
      </c>
      <c r="J10" s="13"/>
      <c r="K10" s="13"/>
      <c r="L10" s="13"/>
      <c r="M10" s="13"/>
      <c r="N10" s="13"/>
      <c r="O10" s="13"/>
      <c r="P10" s="13"/>
      <c r="Q10" s="13" t="s">
        <v>119</v>
      </c>
    </row>
    <row r="11" spans="1:17" x14ac:dyDescent="0.3">
      <c r="A11" s="13">
        <v>7</v>
      </c>
      <c r="B11" s="13" t="s">
        <v>120</v>
      </c>
      <c r="C11" s="13"/>
      <c r="D11" s="13"/>
      <c r="E11" s="13"/>
      <c r="F11" s="13"/>
      <c r="G11" s="13" t="s">
        <v>121</v>
      </c>
      <c r="H11" s="13" t="s">
        <v>122</v>
      </c>
      <c r="I11" s="13" t="s">
        <v>123</v>
      </c>
      <c r="J11" s="13"/>
      <c r="K11" s="13"/>
      <c r="L11" s="13"/>
      <c r="M11" s="13"/>
      <c r="N11" s="13"/>
      <c r="O11" s="13"/>
      <c r="P11" s="13"/>
      <c r="Q11" s="13" t="s">
        <v>124</v>
      </c>
    </row>
    <row r="12" spans="1:17" x14ac:dyDescent="0.3">
      <c r="A12" s="13">
        <v>8</v>
      </c>
      <c r="B12" s="13" t="s">
        <v>125</v>
      </c>
      <c r="C12" s="13"/>
      <c r="D12" s="13"/>
      <c r="E12" s="13"/>
      <c r="F12" s="13"/>
      <c r="G12" s="13" t="s">
        <v>126</v>
      </c>
      <c r="H12" s="13" t="s">
        <v>127</v>
      </c>
      <c r="I12" s="13" t="s">
        <v>128</v>
      </c>
      <c r="J12" s="13"/>
      <c r="K12" s="13"/>
      <c r="L12" s="13"/>
      <c r="M12" s="13"/>
      <c r="N12" s="13"/>
      <c r="O12" s="13"/>
      <c r="P12" s="13"/>
      <c r="Q12" s="13" t="s">
        <v>129</v>
      </c>
    </row>
    <row r="13" spans="1:17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</sheetData>
  <dataValidations count="6">
    <dataValidation type="list" allowBlank="1" showInputMessage="1" showErrorMessage="1" sqref="F5" xr:uid="{43EDAC3A-A212-4E24-B926-BF06B90C8DF6}">
      <formula1>"- Sila Pilih -, G2G, G2C,G2B,G2E, B2G, C2G, I2G"</formula1>
    </dataValidation>
    <dataValidation type="list" allowBlank="1" showInputMessage="1" showErrorMessage="1" sqref="E5" xr:uid="{83A9604D-24CE-4043-B1EB-958E339225EE}">
      <formula1>"- Sila Pilih -, Manual, Online, e-Kaunter"</formula1>
    </dataValidation>
    <dataValidation type="list" allowBlank="1" showInputMessage="1" showErrorMessage="1" sqref="M5" xr:uid="{A836CF3B-C80F-4DA8-BBF8-86AFF0945789}">
      <formula1>"- Sila Pilih -, Dalaman, Bersama Vendor, Vendor"</formula1>
    </dataValidation>
    <dataValidation type="list" allowBlank="1" showInputMessage="1" showErrorMessage="1" sqref="J5" xr:uid="{AB1F3C13-986A-4BA2-8B99-0678C609A466}">
      <formula1>"- Sila Pilih -, Sangat Tinggi, Tinggi, Sederhana, Rendah, Sangat Rendah"</formula1>
    </dataValidation>
    <dataValidation type="list" allowBlank="1" showInputMessage="1" showErrorMessage="1" sqref="K5" xr:uid="{FD52BB65-00C9-4425-9B9D-5890E845F499}">
      <formula1>"- Sila Pilih -,Rahsia Besar,Rahsia,Sulit,Terhad,Terbuka"</formula1>
    </dataValidation>
    <dataValidation type="list" allowBlank="1" showInputMessage="1" showErrorMessage="1" promptTitle="- Sila Pilih -" prompt="Ya_x000a_Tidak" sqref="L5 O5:P5" xr:uid="{0AAF69F3-0895-452F-99E6-70CF6B2D9F2C}">
      <formula1>"- Sila Pilih -,Ya,Tidak"</formula1>
    </dataValidation>
  </dataValidation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="103" workbookViewId="0">
      <selection activeCell="G10" sqref="G10"/>
    </sheetView>
  </sheetViews>
  <sheetFormatPr defaultColWidth="9.109375" defaultRowHeight="15.6" x14ac:dyDescent="0.3"/>
  <cols>
    <col min="1" max="1" width="13.109375" style="3" customWidth="1"/>
    <col min="2" max="2" width="25" style="3" customWidth="1"/>
    <col min="3" max="3" width="28" style="3" customWidth="1"/>
    <col min="4" max="4" width="19" style="3" customWidth="1"/>
    <col min="5" max="5" width="18" style="3" customWidth="1"/>
    <col min="6" max="6" width="12" style="3" customWidth="1"/>
    <col min="7" max="7" width="26" style="3" customWidth="1"/>
    <col min="8" max="8" width="24" style="3" customWidth="1"/>
    <col min="9" max="16384" width="9.109375" style="3"/>
  </cols>
  <sheetData>
    <row r="1" spans="1:8" x14ac:dyDescent="0.3">
      <c r="A1" s="1" t="s">
        <v>130</v>
      </c>
    </row>
    <row r="2" spans="1:8" x14ac:dyDescent="0.3">
      <c r="A2" s="4" t="s">
        <v>131</v>
      </c>
    </row>
    <row r="3" spans="1:8" x14ac:dyDescent="0.3">
      <c r="A3" s="4"/>
    </row>
    <row r="4" spans="1:8" x14ac:dyDescent="0.3">
      <c r="A4" s="23" t="s">
        <v>132</v>
      </c>
      <c r="B4" s="23" t="s">
        <v>68</v>
      </c>
      <c r="C4" s="23" t="s">
        <v>133</v>
      </c>
      <c r="D4" s="23" t="s">
        <v>134</v>
      </c>
      <c r="E4" s="23" t="s">
        <v>135</v>
      </c>
      <c r="F4" s="23" t="s">
        <v>136</v>
      </c>
      <c r="G4" s="23" t="s">
        <v>69</v>
      </c>
      <c r="H4" s="23" t="s">
        <v>137</v>
      </c>
    </row>
    <row r="5" spans="1:8" x14ac:dyDescent="0.3">
      <c r="A5" s="24" t="s">
        <v>95</v>
      </c>
      <c r="B5" s="24" t="s">
        <v>84</v>
      </c>
      <c r="C5" s="24" t="s">
        <v>138</v>
      </c>
      <c r="D5" s="24" t="s">
        <v>139</v>
      </c>
      <c r="E5" s="24" t="s">
        <v>140</v>
      </c>
      <c r="F5" s="24" t="s">
        <v>141</v>
      </c>
      <c r="G5" s="24" t="s">
        <v>142</v>
      </c>
      <c r="H5" s="24" t="s">
        <v>23</v>
      </c>
    </row>
    <row r="6" spans="1:8" x14ac:dyDescent="0.3">
      <c r="A6" s="24" t="s">
        <v>100</v>
      </c>
      <c r="B6" s="24" t="s">
        <v>96</v>
      </c>
      <c r="C6" s="24" t="s">
        <v>143</v>
      </c>
      <c r="D6" s="24" t="s">
        <v>144</v>
      </c>
      <c r="E6" s="24" t="s">
        <v>145</v>
      </c>
      <c r="F6" s="24" t="s">
        <v>146</v>
      </c>
      <c r="G6" s="24" t="s">
        <v>147</v>
      </c>
      <c r="H6" s="24" t="s">
        <v>148</v>
      </c>
    </row>
    <row r="7" spans="1:8" x14ac:dyDescent="0.3">
      <c r="A7" s="24" t="s">
        <v>105</v>
      </c>
      <c r="B7" s="24" t="s">
        <v>101</v>
      </c>
      <c r="C7" s="24" t="s">
        <v>149</v>
      </c>
      <c r="D7" s="24" t="s">
        <v>150</v>
      </c>
      <c r="E7" s="24" t="s">
        <v>151</v>
      </c>
      <c r="F7" s="24" t="s">
        <v>146</v>
      </c>
      <c r="G7" s="24" t="s">
        <v>152</v>
      </c>
      <c r="H7" s="24" t="s">
        <v>14</v>
      </c>
    </row>
    <row r="8" spans="1:8" x14ac:dyDescent="0.3">
      <c r="A8" s="24" t="s">
        <v>110</v>
      </c>
      <c r="B8" s="24" t="s">
        <v>106</v>
      </c>
      <c r="C8" s="24" t="s">
        <v>153</v>
      </c>
      <c r="D8" s="24" t="s">
        <v>154</v>
      </c>
      <c r="E8" s="24" t="s">
        <v>155</v>
      </c>
      <c r="F8" s="24" t="s">
        <v>156</v>
      </c>
      <c r="G8" s="24" t="s">
        <v>157</v>
      </c>
      <c r="H8" s="24" t="s">
        <v>23</v>
      </c>
    </row>
    <row r="9" spans="1:8" x14ac:dyDescent="0.3">
      <c r="A9" s="24" t="s">
        <v>115</v>
      </c>
      <c r="B9" s="24" t="s">
        <v>111</v>
      </c>
      <c r="C9" s="24" t="s">
        <v>138</v>
      </c>
      <c r="D9" s="24" t="s">
        <v>158</v>
      </c>
      <c r="E9" s="24" t="s">
        <v>159</v>
      </c>
      <c r="F9" s="24" t="s">
        <v>146</v>
      </c>
      <c r="G9" s="24" t="s">
        <v>160</v>
      </c>
      <c r="H9" s="24" t="s">
        <v>23</v>
      </c>
    </row>
    <row r="10" spans="1:8" x14ac:dyDescent="0.3">
      <c r="A10" s="24" t="s">
        <v>119</v>
      </c>
      <c r="B10" s="24" t="s">
        <v>116</v>
      </c>
      <c r="C10" s="24" t="s">
        <v>161</v>
      </c>
      <c r="D10" s="24" t="s">
        <v>162</v>
      </c>
      <c r="E10" s="24" t="s">
        <v>163</v>
      </c>
      <c r="F10" s="24" t="s">
        <v>164</v>
      </c>
      <c r="G10" s="24" t="s">
        <v>165</v>
      </c>
      <c r="H10" s="24" t="s">
        <v>23</v>
      </c>
    </row>
    <row r="11" spans="1:8" x14ac:dyDescent="0.3">
      <c r="A11" s="24" t="s">
        <v>124</v>
      </c>
      <c r="B11" s="24" t="s">
        <v>120</v>
      </c>
      <c r="C11" s="24" t="s">
        <v>166</v>
      </c>
      <c r="D11" s="24" t="s">
        <v>167</v>
      </c>
      <c r="E11" s="24" t="s">
        <v>168</v>
      </c>
      <c r="F11" s="24" t="s">
        <v>146</v>
      </c>
      <c r="G11" s="24" t="s">
        <v>169</v>
      </c>
      <c r="H11" s="24" t="s">
        <v>148</v>
      </c>
    </row>
    <row r="12" spans="1:8" x14ac:dyDescent="0.3">
      <c r="A12" s="24" t="s">
        <v>129</v>
      </c>
      <c r="B12" s="24" t="s">
        <v>125</v>
      </c>
      <c r="C12" s="24" t="s">
        <v>170</v>
      </c>
      <c r="D12" s="24" t="s">
        <v>15</v>
      </c>
      <c r="E12" s="24" t="s">
        <v>171</v>
      </c>
      <c r="F12" s="24" t="s">
        <v>172</v>
      </c>
      <c r="G12" s="24" t="s">
        <v>173</v>
      </c>
      <c r="H12" s="24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zoomScale="85" workbookViewId="0">
      <selection activeCell="E12" sqref="E12"/>
    </sheetView>
  </sheetViews>
  <sheetFormatPr defaultColWidth="8.6640625" defaultRowHeight="15.6" x14ac:dyDescent="0.3"/>
  <cols>
    <col min="1" max="1" width="5.88671875" style="27" customWidth="1"/>
    <col min="2" max="2" width="23.88671875" style="26" customWidth="1"/>
    <col min="3" max="3" width="22" style="26" customWidth="1"/>
    <col min="4" max="4" width="18.44140625" style="26" customWidth="1"/>
    <col min="5" max="5" width="23.88671875" style="26" customWidth="1"/>
    <col min="6" max="6" width="12.44140625" style="26" bestFit="1" customWidth="1"/>
    <col min="7" max="7" width="37.6640625" style="26" customWidth="1"/>
    <col min="8" max="8" width="12.88671875" style="26" bestFit="1" customWidth="1"/>
    <col min="9" max="9" width="14.33203125" style="26" customWidth="1"/>
    <col min="10" max="10" width="16.88671875" style="26" customWidth="1"/>
    <col min="11" max="11" width="29.109375" style="26" customWidth="1"/>
    <col min="12" max="16384" width="8.6640625" style="26"/>
  </cols>
  <sheetData>
    <row r="1" spans="1:13" x14ac:dyDescent="0.3">
      <c r="A1" s="25" t="s">
        <v>174</v>
      </c>
    </row>
    <row r="2" spans="1:13" x14ac:dyDescent="0.3">
      <c r="A2" s="108" t="s">
        <v>175</v>
      </c>
      <c r="B2" s="109"/>
      <c r="C2" s="109"/>
      <c r="D2" s="109"/>
      <c r="E2" s="109"/>
    </row>
    <row r="4" spans="1:13" s="30" customFormat="1" ht="46.8" x14ac:dyDescent="0.3">
      <c r="A4" s="28" t="s">
        <v>2</v>
      </c>
      <c r="B4" s="28" t="s">
        <v>176</v>
      </c>
      <c r="C4" s="28" t="s">
        <v>177</v>
      </c>
      <c r="D4" s="28" t="s">
        <v>178</v>
      </c>
      <c r="E4" s="28" t="s">
        <v>179</v>
      </c>
      <c r="F4" s="28" t="s">
        <v>180</v>
      </c>
      <c r="G4" s="28" t="s">
        <v>181</v>
      </c>
      <c r="H4" s="28" t="s">
        <v>182</v>
      </c>
      <c r="I4" s="29"/>
      <c r="J4" s="29"/>
      <c r="K4" s="29"/>
      <c r="L4" s="29"/>
      <c r="M4" s="29"/>
    </row>
    <row r="5" spans="1:13" s="9" customFormat="1" ht="31.2" x14ac:dyDescent="0.3">
      <c r="A5" s="31">
        <v>1</v>
      </c>
      <c r="B5" s="16" t="s">
        <v>183</v>
      </c>
      <c r="C5" s="16"/>
      <c r="D5" s="16" t="s">
        <v>184</v>
      </c>
      <c r="E5" s="16" t="s">
        <v>185</v>
      </c>
      <c r="F5" s="31" t="s">
        <v>186</v>
      </c>
      <c r="G5" s="16" t="s">
        <v>187</v>
      </c>
      <c r="H5" s="31" t="s">
        <v>188</v>
      </c>
    </row>
    <row r="6" spans="1:13" s="9" customFormat="1" ht="31.2" x14ac:dyDescent="0.3">
      <c r="A6" s="31">
        <v>2</v>
      </c>
      <c r="B6" s="16" t="s">
        <v>189</v>
      </c>
      <c r="C6" s="16"/>
      <c r="D6" s="16" t="s">
        <v>190</v>
      </c>
      <c r="E6" s="16" t="s">
        <v>191</v>
      </c>
      <c r="F6" s="31" t="s">
        <v>192</v>
      </c>
      <c r="G6" s="16" t="s">
        <v>193</v>
      </c>
      <c r="H6" s="31" t="s">
        <v>188</v>
      </c>
    </row>
    <row r="7" spans="1:13" s="9" customFormat="1" x14ac:dyDescent="0.3">
      <c r="A7" s="31">
        <v>3</v>
      </c>
      <c r="B7" s="16"/>
      <c r="C7" s="16"/>
      <c r="D7" s="16"/>
      <c r="E7" s="16"/>
      <c r="F7" s="31"/>
      <c r="G7" s="16"/>
      <c r="H7" s="16"/>
    </row>
    <row r="8" spans="1:13" s="9" customFormat="1" x14ac:dyDescent="0.3">
      <c r="A8" s="31">
        <v>4</v>
      </c>
      <c r="B8" s="16"/>
      <c r="C8" s="16"/>
      <c r="D8" s="16"/>
      <c r="E8" s="16"/>
      <c r="F8" s="31"/>
      <c r="G8" s="16"/>
      <c r="H8" s="16"/>
    </row>
    <row r="9" spans="1:13" s="9" customFormat="1" x14ac:dyDescent="0.3">
      <c r="A9" s="31">
        <v>5</v>
      </c>
      <c r="B9" s="16"/>
      <c r="C9" s="16"/>
      <c r="D9" s="16"/>
      <c r="E9" s="16"/>
      <c r="F9" s="31"/>
      <c r="G9" s="16"/>
      <c r="H9" s="16"/>
    </row>
  </sheetData>
  <mergeCells count="1">
    <mergeCell ref="A2:E2"/>
  </mergeCells>
  <dataValidations count="1">
    <dataValidation type="list" allowBlank="1" showInputMessage="1" showErrorMessage="1" sqref="C5:C9" xr:uid="{A7536BAF-50D1-4290-88EB-7407F1A6B547}">
      <formula1>"Perkakasan, Perisian, Aplikasi"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358D-8E8F-4D83-9BA5-54F6FD71E1D3}">
  <dimension ref="A1:K13"/>
  <sheetViews>
    <sheetView workbookViewId="0">
      <selection activeCell="H13" sqref="G13:H14"/>
    </sheetView>
  </sheetViews>
  <sheetFormatPr defaultColWidth="9.109375" defaultRowHeight="15.6" x14ac:dyDescent="0.3"/>
  <cols>
    <col min="1" max="1" width="6" style="3" customWidth="1"/>
    <col min="2" max="2" width="19.109375" style="3" bestFit="1" customWidth="1"/>
    <col min="3" max="3" width="17" style="3" customWidth="1"/>
    <col min="4" max="4" width="17.5546875" style="3" customWidth="1"/>
    <col min="5" max="5" width="17" style="3" customWidth="1"/>
    <col min="6" max="6" width="6.44140625" style="3" bestFit="1" customWidth="1"/>
    <col min="7" max="7" width="12.88671875" style="3" bestFit="1" customWidth="1"/>
    <col min="8" max="8" width="10.44140625" style="3" bestFit="1" customWidth="1"/>
    <col min="9" max="9" width="18.88671875" style="3" bestFit="1" customWidth="1"/>
    <col min="10" max="10" width="13.5546875" style="3" customWidth="1"/>
    <col min="11" max="11" width="17.6640625" style="3" customWidth="1"/>
    <col min="12" max="16384" width="9.109375" style="3"/>
  </cols>
  <sheetData>
    <row r="1" spans="1:11" s="38" customFormat="1" x14ac:dyDescent="0.3">
      <c r="A1" s="25" t="s">
        <v>194</v>
      </c>
    </row>
    <row r="2" spans="1:11" s="38" customFormat="1" ht="14.4" customHeight="1" x14ac:dyDescent="0.3">
      <c r="A2" s="110" t="s">
        <v>195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spans="1:11" s="38" customFormat="1" ht="14.4" customHeight="1" x14ac:dyDescent="0.3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46.8" x14ac:dyDescent="0.3">
      <c r="A4" s="41" t="s">
        <v>2</v>
      </c>
      <c r="B4" s="28" t="s">
        <v>176</v>
      </c>
      <c r="C4" s="28" t="s">
        <v>178</v>
      </c>
      <c r="D4" s="28" t="s">
        <v>181</v>
      </c>
      <c r="E4" s="28" t="s">
        <v>196</v>
      </c>
      <c r="F4" s="28" t="s">
        <v>197</v>
      </c>
      <c r="G4" s="28" t="s">
        <v>198</v>
      </c>
      <c r="H4" s="41" t="s">
        <v>199</v>
      </c>
      <c r="I4" s="41" t="s">
        <v>200</v>
      </c>
      <c r="J4" s="28" t="s">
        <v>201</v>
      </c>
      <c r="K4" s="28" t="s">
        <v>202</v>
      </c>
    </row>
    <row r="5" spans="1:11" ht="62.4" x14ac:dyDescent="0.3">
      <c r="A5" s="31">
        <v>1</v>
      </c>
      <c r="B5" s="16" t="s">
        <v>183</v>
      </c>
      <c r="C5" s="16" t="s">
        <v>184</v>
      </c>
      <c r="D5" s="16" t="s">
        <v>187</v>
      </c>
      <c r="E5" s="16" t="s">
        <v>203</v>
      </c>
      <c r="F5" s="31">
        <v>5</v>
      </c>
      <c r="G5" s="31">
        <v>5</v>
      </c>
      <c r="H5" s="31">
        <f>F5*G5</f>
        <v>25</v>
      </c>
      <c r="I5" s="16" t="s">
        <v>204</v>
      </c>
      <c r="J5" s="16" t="s">
        <v>205</v>
      </c>
      <c r="K5" s="16" t="s">
        <v>206</v>
      </c>
    </row>
    <row r="6" spans="1:11" ht="78" x14ac:dyDescent="0.3">
      <c r="A6" s="31">
        <v>2</v>
      </c>
      <c r="B6" s="16" t="s">
        <v>189</v>
      </c>
      <c r="C6" s="16" t="s">
        <v>190</v>
      </c>
      <c r="D6" s="16" t="s">
        <v>193</v>
      </c>
      <c r="E6" s="16" t="s">
        <v>207</v>
      </c>
      <c r="F6" s="31">
        <v>2</v>
      </c>
      <c r="G6" s="31">
        <v>2</v>
      </c>
      <c r="H6" s="31">
        <f>F6*G6</f>
        <v>4</v>
      </c>
      <c r="I6" s="16" t="s">
        <v>208</v>
      </c>
      <c r="J6" s="16" t="s">
        <v>209</v>
      </c>
      <c r="K6" s="16" t="s">
        <v>210</v>
      </c>
    </row>
    <row r="7" spans="1:11" x14ac:dyDescent="0.3">
      <c r="A7" s="31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3">
      <c r="A8" s="31">
        <v>4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</sheetData>
  <mergeCells count="1"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8"/>
  <sheetViews>
    <sheetView topLeftCell="A4" zoomScale="65" workbookViewId="0">
      <selection activeCell="G29" sqref="G29"/>
    </sheetView>
  </sheetViews>
  <sheetFormatPr defaultColWidth="8.6640625" defaultRowHeight="15.6" x14ac:dyDescent="0.3"/>
  <cols>
    <col min="1" max="1" width="19.44140625" style="9" bestFit="1" customWidth="1"/>
    <col min="2" max="2" width="10.5546875" style="9" customWidth="1"/>
    <col min="3" max="3" width="10.44140625" style="9" customWidth="1"/>
    <col min="4" max="4" width="11.109375" style="9" customWidth="1"/>
    <col min="5" max="5" width="7.88671875" style="9" customWidth="1"/>
    <col min="6" max="6" width="12.5546875" style="9" bestFit="1" customWidth="1"/>
    <col min="7" max="7" width="13.5546875" style="9" customWidth="1"/>
    <col min="8" max="8" width="8.44140625" style="9" customWidth="1"/>
    <col min="9" max="10" width="8.6640625" style="9"/>
    <col min="11" max="11" width="2.44140625" style="9" customWidth="1"/>
    <col min="12" max="12" width="0.109375" style="9" customWidth="1"/>
    <col min="13" max="13" width="14.109375" style="9" hidden="1" customWidth="1"/>
    <col min="14" max="16384" width="8.6640625" style="9"/>
  </cols>
  <sheetData>
    <row r="1" spans="1:19" x14ac:dyDescent="0.3">
      <c r="A1" s="121" t="s">
        <v>211</v>
      </c>
      <c r="B1" s="109"/>
      <c r="C1" s="109"/>
      <c r="D1" s="109"/>
      <c r="E1" s="109"/>
      <c r="F1" s="109"/>
      <c r="G1" s="109"/>
    </row>
    <row r="2" spans="1:19" x14ac:dyDescent="0.3">
      <c r="A2" s="122" t="s">
        <v>212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46.8" x14ac:dyDescent="0.3">
      <c r="A4" s="44" t="s">
        <v>213</v>
      </c>
      <c r="B4" s="45" t="s">
        <v>214</v>
      </c>
      <c r="C4" s="45" t="s">
        <v>215</v>
      </c>
      <c r="D4" s="45" t="s">
        <v>216</v>
      </c>
      <c r="E4" s="45" t="s">
        <v>217</v>
      </c>
      <c r="F4" s="45" t="s">
        <v>218</v>
      </c>
      <c r="H4" s="123" t="s">
        <v>219</v>
      </c>
      <c r="I4" s="123"/>
      <c r="J4" s="123"/>
      <c r="K4" s="123"/>
      <c r="L4" s="124"/>
      <c r="M4" s="124"/>
      <c r="N4" s="124"/>
      <c r="O4" s="125"/>
      <c r="P4" s="125"/>
      <c r="Q4" s="125"/>
      <c r="R4" s="125"/>
      <c r="S4" s="125"/>
    </row>
    <row r="5" spans="1:19" x14ac:dyDescent="0.3">
      <c r="A5" s="46" t="s">
        <v>220</v>
      </c>
      <c r="B5" s="31">
        <v>5</v>
      </c>
      <c r="C5" s="31">
        <v>10</v>
      </c>
      <c r="D5" s="31">
        <v>15</v>
      </c>
      <c r="E5" s="31">
        <v>20</v>
      </c>
      <c r="F5" s="31">
        <v>25</v>
      </c>
      <c r="G5" s="30"/>
      <c r="H5" s="47" t="s">
        <v>221</v>
      </c>
      <c r="I5" s="115" t="s">
        <v>222</v>
      </c>
      <c r="J5" s="116"/>
      <c r="K5" s="116"/>
      <c r="L5" s="116"/>
      <c r="M5" s="117"/>
      <c r="N5" s="112" t="s">
        <v>223</v>
      </c>
      <c r="O5" s="112"/>
      <c r="P5" s="112"/>
      <c r="Q5" s="112"/>
      <c r="R5" s="112"/>
      <c r="S5" s="112"/>
    </row>
    <row r="6" spans="1:19" x14ac:dyDescent="0.3">
      <c r="A6" s="46" t="s">
        <v>224</v>
      </c>
      <c r="B6" s="31">
        <v>4</v>
      </c>
      <c r="C6" s="31">
        <v>8</v>
      </c>
      <c r="D6" s="31">
        <v>12</v>
      </c>
      <c r="E6" s="31">
        <v>16</v>
      </c>
      <c r="F6" s="31">
        <v>20</v>
      </c>
      <c r="G6" s="32"/>
      <c r="H6" s="48" t="s">
        <v>225</v>
      </c>
      <c r="I6" s="115" t="s">
        <v>226</v>
      </c>
      <c r="J6" s="116"/>
      <c r="K6" s="116"/>
      <c r="L6" s="116"/>
      <c r="M6" s="117"/>
      <c r="N6" s="112" t="s">
        <v>227</v>
      </c>
      <c r="O6" s="112"/>
      <c r="P6" s="112"/>
      <c r="Q6" s="112"/>
      <c r="R6" s="112"/>
      <c r="S6" s="112"/>
    </row>
    <row r="7" spans="1:19" x14ac:dyDescent="0.3">
      <c r="A7" s="46" t="s">
        <v>216</v>
      </c>
      <c r="B7" s="31">
        <v>3</v>
      </c>
      <c r="C7" s="31">
        <v>6</v>
      </c>
      <c r="D7" s="31">
        <v>9</v>
      </c>
      <c r="E7" s="31">
        <v>12</v>
      </c>
      <c r="F7" s="31">
        <v>15</v>
      </c>
      <c r="G7" s="30"/>
      <c r="H7" s="49" t="s">
        <v>228</v>
      </c>
      <c r="I7" s="115" t="s">
        <v>229</v>
      </c>
      <c r="J7" s="116"/>
      <c r="K7" s="116"/>
      <c r="L7" s="116"/>
      <c r="M7" s="117"/>
      <c r="N7" s="112" t="s">
        <v>230</v>
      </c>
      <c r="O7" s="112"/>
      <c r="P7" s="112"/>
      <c r="Q7" s="112"/>
      <c r="R7" s="112"/>
      <c r="S7" s="112"/>
    </row>
    <row r="8" spans="1:19" x14ac:dyDescent="0.3">
      <c r="A8" s="46" t="s">
        <v>231</v>
      </c>
      <c r="B8" s="31">
        <v>2</v>
      </c>
      <c r="C8" s="31">
        <v>4</v>
      </c>
      <c r="D8" s="31">
        <v>6</v>
      </c>
      <c r="E8" s="31">
        <v>8</v>
      </c>
      <c r="F8" s="31">
        <v>10</v>
      </c>
      <c r="G8" s="30"/>
      <c r="H8" s="50" t="s">
        <v>232</v>
      </c>
      <c r="I8" s="115" t="s">
        <v>233</v>
      </c>
      <c r="J8" s="116"/>
      <c r="K8" s="116"/>
      <c r="L8" s="116"/>
      <c r="M8" s="117"/>
      <c r="N8" s="112" t="s">
        <v>234</v>
      </c>
      <c r="O8" s="112"/>
      <c r="P8" s="112"/>
      <c r="Q8" s="112"/>
      <c r="R8" s="112"/>
      <c r="S8" s="112"/>
    </row>
    <row r="9" spans="1:19" x14ac:dyDescent="0.3">
      <c r="A9" s="46" t="s">
        <v>235</v>
      </c>
      <c r="B9" s="31">
        <v>1</v>
      </c>
      <c r="C9" s="31">
        <v>2</v>
      </c>
      <c r="D9" s="31">
        <v>3</v>
      </c>
      <c r="E9" s="31">
        <v>4</v>
      </c>
      <c r="F9" s="31">
        <v>5</v>
      </c>
      <c r="G9" s="30"/>
      <c r="H9" s="51" t="s">
        <v>236</v>
      </c>
      <c r="I9" s="118" t="s">
        <v>208</v>
      </c>
      <c r="J9" s="119"/>
      <c r="K9" s="119"/>
      <c r="L9" s="119"/>
      <c r="M9" s="120"/>
      <c r="N9" s="112" t="s">
        <v>237</v>
      </c>
      <c r="O9" s="112"/>
      <c r="P9" s="112"/>
      <c r="Q9" s="112"/>
      <c r="R9" s="112"/>
      <c r="S9" s="112"/>
    </row>
    <row r="12" spans="1:19" x14ac:dyDescent="0.3">
      <c r="A12" s="52" t="s">
        <v>238</v>
      </c>
      <c r="H12" s="53"/>
      <c r="N12" s="54"/>
    </row>
    <row r="13" spans="1:19" x14ac:dyDescent="0.3">
      <c r="A13" s="113" t="s">
        <v>239</v>
      </c>
      <c r="B13" s="113"/>
      <c r="C13" s="113"/>
      <c r="D13" s="113"/>
      <c r="E13" s="113"/>
      <c r="F13" s="113"/>
      <c r="H13" s="53"/>
      <c r="N13" s="54"/>
    </row>
    <row r="14" spans="1:19" x14ac:dyDescent="0.3">
      <c r="A14" s="113"/>
      <c r="B14" s="113"/>
      <c r="C14" s="113"/>
      <c r="D14" s="113"/>
      <c r="E14" s="113"/>
      <c r="F14" s="113"/>
      <c r="H14" s="53"/>
      <c r="N14" s="54"/>
    </row>
    <row r="15" spans="1:19" x14ac:dyDescent="0.3">
      <c r="A15" s="55" t="s">
        <v>240</v>
      </c>
      <c r="B15" s="112" t="s">
        <v>241</v>
      </c>
      <c r="C15" s="112"/>
      <c r="D15" s="112"/>
      <c r="E15" s="112"/>
      <c r="H15" s="53"/>
      <c r="N15" s="54"/>
    </row>
    <row r="16" spans="1:19" x14ac:dyDescent="0.3">
      <c r="A16" s="55" t="s">
        <v>242</v>
      </c>
      <c r="B16" s="112" t="s">
        <v>243</v>
      </c>
      <c r="C16" s="112"/>
      <c r="D16" s="112"/>
      <c r="E16" s="112"/>
      <c r="H16" s="52"/>
      <c r="N16" s="54"/>
    </row>
    <row r="17" spans="1:10" x14ac:dyDescent="0.3">
      <c r="A17" s="55" t="s">
        <v>244</v>
      </c>
      <c r="B17" s="112" t="s">
        <v>245</v>
      </c>
      <c r="C17" s="112"/>
      <c r="D17" s="112"/>
      <c r="E17" s="112"/>
    </row>
    <row r="18" spans="1:10" x14ac:dyDescent="0.3">
      <c r="A18" s="55" t="s">
        <v>246</v>
      </c>
      <c r="B18" s="112" t="s">
        <v>247</v>
      </c>
      <c r="C18" s="112"/>
      <c r="D18" s="112"/>
      <c r="E18" s="112"/>
    </row>
    <row r="19" spans="1:10" x14ac:dyDescent="0.3">
      <c r="A19" s="55" t="s">
        <v>248</v>
      </c>
      <c r="B19" s="112" t="s">
        <v>249</v>
      </c>
      <c r="C19" s="112"/>
      <c r="D19" s="112"/>
      <c r="E19" s="112"/>
    </row>
    <row r="22" spans="1:10" x14ac:dyDescent="0.3">
      <c r="A22" s="113" t="s">
        <v>250</v>
      </c>
      <c r="B22" s="113"/>
      <c r="C22" s="113"/>
      <c r="D22" s="113"/>
      <c r="E22" s="113"/>
      <c r="F22" s="113"/>
      <c r="G22" s="113"/>
      <c r="H22" s="113"/>
      <c r="I22" s="113"/>
      <c r="J22" s="113"/>
    </row>
    <row r="23" spans="1:10" x14ac:dyDescent="0.3">
      <c r="A23" s="114"/>
      <c r="B23" s="114"/>
      <c r="C23" s="114"/>
      <c r="D23" s="114"/>
      <c r="E23" s="114"/>
      <c r="F23" s="114"/>
      <c r="G23" s="114"/>
      <c r="H23" s="114"/>
      <c r="I23" s="114"/>
      <c r="J23" s="114"/>
    </row>
    <row r="24" spans="1:10" x14ac:dyDescent="0.3">
      <c r="A24" s="56" t="s">
        <v>240</v>
      </c>
      <c r="B24" s="112" t="s">
        <v>251</v>
      </c>
      <c r="C24" s="112"/>
      <c r="D24" s="112"/>
      <c r="E24" s="112"/>
      <c r="F24" s="112"/>
      <c r="G24" s="112"/>
      <c r="H24" s="112"/>
      <c r="I24" s="112"/>
      <c r="J24" s="112"/>
    </row>
    <row r="25" spans="1:10" x14ac:dyDescent="0.3">
      <c r="A25" s="56" t="s">
        <v>242</v>
      </c>
      <c r="B25" s="112" t="s">
        <v>252</v>
      </c>
      <c r="C25" s="112"/>
      <c r="D25" s="112"/>
      <c r="E25" s="112"/>
      <c r="F25" s="112"/>
      <c r="G25" s="112"/>
      <c r="H25" s="112"/>
      <c r="I25" s="112"/>
      <c r="J25" s="112"/>
    </row>
    <row r="26" spans="1:10" x14ac:dyDescent="0.3">
      <c r="A26" s="56" t="s">
        <v>244</v>
      </c>
      <c r="B26" s="112" t="s">
        <v>253</v>
      </c>
      <c r="C26" s="112"/>
      <c r="D26" s="112"/>
      <c r="E26" s="112"/>
      <c r="F26" s="112"/>
      <c r="G26" s="112"/>
      <c r="H26" s="112"/>
      <c r="I26" s="112"/>
      <c r="J26" s="112"/>
    </row>
    <row r="27" spans="1:10" x14ac:dyDescent="0.3">
      <c r="A27" s="56" t="s">
        <v>246</v>
      </c>
      <c r="B27" s="112" t="s">
        <v>254</v>
      </c>
      <c r="C27" s="112"/>
      <c r="D27" s="112"/>
      <c r="E27" s="112"/>
      <c r="F27" s="112"/>
      <c r="G27" s="112"/>
      <c r="H27" s="112"/>
      <c r="I27" s="112"/>
      <c r="J27" s="112"/>
    </row>
    <row r="28" spans="1:10" x14ac:dyDescent="0.3">
      <c r="A28" s="56" t="s">
        <v>248</v>
      </c>
      <c r="B28" s="112" t="s">
        <v>255</v>
      </c>
      <c r="C28" s="112"/>
      <c r="D28" s="112"/>
      <c r="E28" s="112"/>
      <c r="F28" s="112"/>
      <c r="G28" s="112"/>
      <c r="H28" s="112"/>
      <c r="I28" s="112"/>
      <c r="J28" s="112"/>
    </row>
  </sheetData>
  <mergeCells count="25">
    <mergeCell ref="I6:M6"/>
    <mergeCell ref="N6:S6"/>
    <mergeCell ref="A1:G1"/>
    <mergeCell ref="A2:S2"/>
    <mergeCell ref="H4:S4"/>
    <mergeCell ref="I5:M5"/>
    <mergeCell ref="N5:S5"/>
    <mergeCell ref="I7:M7"/>
    <mergeCell ref="N7:S7"/>
    <mergeCell ref="I8:M8"/>
    <mergeCell ref="N8:S8"/>
    <mergeCell ref="I9:M9"/>
    <mergeCell ref="N9:S9"/>
    <mergeCell ref="B28:J28"/>
    <mergeCell ref="A13:F14"/>
    <mergeCell ref="B15:E15"/>
    <mergeCell ref="B16:E16"/>
    <mergeCell ref="B17:E17"/>
    <mergeCell ref="B18:E18"/>
    <mergeCell ref="B19:E19"/>
    <mergeCell ref="A22:J23"/>
    <mergeCell ref="B24:J24"/>
    <mergeCell ref="B25:J25"/>
    <mergeCell ref="B26:J26"/>
    <mergeCell ref="B27:J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B07A-73D3-48B3-8A7B-5C395DABC0AB}">
  <dimension ref="A1:K138"/>
  <sheetViews>
    <sheetView topLeftCell="B1" zoomScale="61" workbookViewId="0">
      <selection activeCell="L133" sqref="L133"/>
    </sheetView>
  </sheetViews>
  <sheetFormatPr defaultColWidth="9.109375" defaultRowHeight="14.4" x14ac:dyDescent="0.3"/>
  <cols>
    <col min="1" max="1" width="17.88671875" style="59" bestFit="1" customWidth="1"/>
    <col min="2" max="2" width="24.6640625" style="59" bestFit="1" customWidth="1"/>
    <col min="3" max="3" width="24.44140625" style="59" customWidth="1"/>
    <col min="4" max="4" width="26.33203125" style="59" customWidth="1"/>
    <col min="5" max="5" width="13.88671875" style="59" bestFit="1" customWidth="1"/>
    <col min="6" max="6" width="112.109375" style="59" bestFit="1" customWidth="1"/>
    <col min="7" max="7" width="46.33203125" style="59" bestFit="1" customWidth="1"/>
    <col min="8" max="8" width="33" style="60" customWidth="1"/>
    <col min="9" max="16384" width="9.109375" style="59"/>
  </cols>
  <sheetData>
    <row r="1" spans="1:8" ht="15" thickBot="1" x14ac:dyDescent="0.35"/>
    <row r="2" spans="1:8" ht="15" thickBot="1" x14ac:dyDescent="0.35">
      <c r="A2" s="87" t="s">
        <v>256</v>
      </c>
      <c r="B2" s="88" t="s">
        <v>257</v>
      </c>
      <c r="C2" s="88" t="s">
        <v>258</v>
      </c>
      <c r="D2" s="88" t="s">
        <v>259</v>
      </c>
      <c r="E2" s="88" t="s">
        <v>260</v>
      </c>
      <c r="F2" s="88" t="s">
        <v>261</v>
      </c>
      <c r="G2" s="96" t="s">
        <v>262</v>
      </c>
      <c r="H2" s="96" t="s">
        <v>263</v>
      </c>
    </row>
    <row r="3" spans="1:8" ht="28.8" x14ac:dyDescent="0.3">
      <c r="A3" s="129" t="s">
        <v>264</v>
      </c>
      <c r="B3" s="61" t="s">
        <v>265</v>
      </c>
      <c r="C3" s="61" t="s">
        <v>266</v>
      </c>
      <c r="D3" s="61" t="s">
        <v>267</v>
      </c>
      <c r="E3" s="61" t="s">
        <v>268</v>
      </c>
      <c r="F3" s="89" t="s">
        <v>269</v>
      </c>
      <c r="G3" s="61" t="s">
        <v>270</v>
      </c>
      <c r="H3" s="132" t="s">
        <v>271</v>
      </c>
    </row>
    <row r="4" spans="1:8" x14ac:dyDescent="0.3">
      <c r="A4" s="130"/>
      <c r="B4" s="62" t="s">
        <v>265</v>
      </c>
      <c r="C4" s="62" t="s">
        <v>272</v>
      </c>
      <c r="D4" s="62"/>
      <c r="E4" s="62" t="s">
        <v>268</v>
      </c>
      <c r="F4" s="63" t="s">
        <v>273</v>
      </c>
      <c r="G4" s="62" t="s">
        <v>270</v>
      </c>
      <c r="H4" s="133"/>
    </row>
    <row r="5" spans="1:8" x14ac:dyDescent="0.3">
      <c r="A5" s="130"/>
      <c r="B5" s="62" t="s">
        <v>274</v>
      </c>
      <c r="C5" s="62" t="s">
        <v>275</v>
      </c>
      <c r="D5" s="62"/>
      <c r="E5" s="62" t="s">
        <v>276</v>
      </c>
      <c r="F5" s="63" t="s">
        <v>277</v>
      </c>
      <c r="G5" s="62" t="s">
        <v>278</v>
      </c>
      <c r="H5" s="133"/>
    </row>
    <row r="6" spans="1:8" x14ac:dyDescent="0.3">
      <c r="A6" s="130"/>
      <c r="B6" s="62" t="s">
        <v>274</v>
      </c>
      <c r="C6" s="62" t="s">
        <v>279</v>
      </c>
      <c r="D6" s="62"/>
      <c r="E6" s="62" t="s">
        <v>276</v>
      </c>
      <c r="F6" s="63" t="s">
        <v>280</v>
      </c>
      <c r="G6" s="62" t="s">
        <v>281</v>
      </c>
      <c r="H6" s="133"/>
    </row>
    <row r="7" spans="1:8" x14ac:dyDescent="0.3">
      <c r="A7" s="130"/>
      <c r="B7" s="63" t="s">
        <v>274</v>
      </c>
      <c r="C7" s="62" t="s">
        <v>282</v>
      </c>
      <c r="D7" s="62"/>
      <c r="E7" s="62" t="s">
        <v>276</v>
      </c>
      <c r="F7" s="59" t="s">
        <v>283</v>
      </c>
      <c r="G7" s="62" t="s">
        <v>284</v>
      </c>
      <c r="H7" s="133"/>
    </row>
    <row r="8" spans="1:8" x14ac:dyDescent="0.3">
      <c r="A8" s="130"/>
      <c r="B8" s="62" t="s">
        <v>274</v>
      </c>
      <c r="C8" s="62" t="s">
        <v>285</v>
      </c>
      <c r="D8" s="62"/>
      <c r="E8" s="62" t="s">
        <v>276</v>
      </c>
      <c r="F8" s="63" t="s">
        <v>286</v>
      </c>
      <c r="G8" s="62" t="s">
        <v>278</v>
      </c>
      <c r="H8" s="133"/>
    </row>
    <row r="9" spans="1:8" x14ac:dyDescent="0.3">
      <c r="A9" s="130"/>
      <c r="B9" s="62" t="s">
        <v>274</v>
      </c>
      <c r="C9" s="62" t="s">
        <v>287</v>
      </c>
      <c r="D9" s="62"/>
      <c r="E9" s="62" t="s">
        <v>276</v>
      </c>
      <c r="F9" s="63" t="s">
        <v>288</v>
      </c>
      <c r="G9" s="62" t="s">
        <v>289</v>
      </c>
      <c r="H9" s="133"/>
    </row>
    <row r="10" spans="1:8" x14ac:dyDescent="0.3">
      <c r="A10" s="130"/>
      <c r="B10" s="62" t="s">
        <v>290</v>
      </c>
      <c r="C10" s="62" t="s">
        <v>291</v>
      </c>
      <c r="D10" s="62"/>
      <c r="E10" s="62" t="s">
        <v>276</v>
      </c>
      <c r="F10" s="63" t="s">
        <v>292</v>
      </c>
      <c r="G10" s="62" t="s">
        <v>293</v>
      </c>
      <c r="H10" s="133"/>
    </row>
    <row r="11" spans="1:8" x14ac:dyDescent="0.3">
      <c r="A11" s="130"/>
      <c r="B11" s="62" t="s">
        <v>290</v>
      </c>
      <c r="C11" s="62" t="s">
        <v>294</v>
      </c>
      <c r="D11" s="62"/>
      <c r="E11" s="62" t="s">
        <v>276</v>
      </c>
      <c r="F11" s="63" t="s">
        <v>295</v>
      </c>
      <c r="G11" s="62" t="s">
        <v>278</v>
      </c>
      <c r="H11" s="133"/>
    </row>
    <row r="12" spans="1:8" ht="28.8" x14ac:dyDescent="0.3">
      <c r="A12" s="130"/>
      <c r="B12" s="62" t="s">
        <v>296</v>
      </c>
      <c r="C12" s="62" t="s">
        <v>266</v>
      </c>
      <c r="D12" s="62" t="s">
        <v>267</v>
      </c>
      <c r="E12" s="62" t="s">
        <v>268</v>
      </c>
      <c r="F12" s="63" t="s">
        <v>297</v>
      </c>
      <c r="G12" s="62" t="s">
        <v>298</v>
      </c>
      <c r="H12" s="133"/>
    </row>
    <row r="13" spans="1:8" ht="28.8" x14ac:dyDescent="0.3">
      <c r="A13" s="130"/>
      <c r="B13" s="62" t="s">
        <v>296</v>
      </c>
      <c r="C13" s="62" t="s">
        <v>299</v>
      </c>
      <c r="D13" s="62"/>
      <c r="E13" s="62" t="s">
        <v>268</v>
      </c>
      <c r="F13" s="63" t="s">
        <v>300</v>
      </c>
      <c r="G13" s="62" t="s">
        <v>270</v>
      </c>
      <c r="H13" s="133"/>
    </row>
    <row r="14" spans="1:8" ht="15" thickBot="1" x14ac:dyDescent="0.35">
      <c r="A14" s="131"/>
      <c r="B14" s="64" t="s">
        <v>301</v>
      </c>
      <c r="C14" s="64" t="s">
        <v>302</v>
      </c>
      <c r="D14" s="64"/>
      <c r="E14" s="64" t="s">
        <v>268</v>
      </c>
      <c r="F14" s="90" t="s">
        <v>303</v>
      </c>
      <c r="G14" s="64" t="s">
        <v>304</v>
      </c>
      <c r="H14" s="134"/>
    </row>
    <row r="15" spans="1:8" ht="15" hidden="1" thickBot="1" x14ac:dyDescent="0.35">
      <c r="A15" s="65"/>
      <c r="B15" s="65"/>
      <c r="C15" s="65"/>
      <c r="D15" s="65"/>
      <c r="E15" s="65"/>
      <c r="F15" s="91"/>
      <c r="G15" s="98"/>
      <c r="H15" s="99"/>
    </row>
    <row r="16" spans="1:8" x14ac:dyDescent="0.3">
      <c r="A16" s="129" t="s">
        <v>305</v>
      </c>
      <c r="B16" s="61" t="s">
        <v>265</v>
      </c>
      <c r="C16" s="61" t="s">
        <v>266</v>
      </c>
      <c r="D16" s="61"/>
      <c r="E16" s="61" t="s">
        <v>268</v>
      </c>
      <c r="F16" s="92" t="s">
        <v>306</v>
      </c>
      <c r="G16" s="92" t="s">
        <v>307</v>
      </c>
      <c r="H16" s="132" t="s">
        <v>308</v>
      </c>
    </row>
    <row r="17" spans="1:10" x14ac:dyDescent="0.3">
      <c r="A17" s="130"/>
      <c r="B17" s="62" t="s">
        <v>265</v>
      </c>
      <c r="C17" s="62" t="s">
        <v>272</v>
      </c>
      <c r="D17" s="62"/>
      <c r="E17" s="62" t="s">
        <v>268</v>
      </c>
      <c r="F17" s="63" t="s">
        <v>309</v>
      </c>
      <c r="G17" s="63" t="s">
        <v>310</v>
      </c>
      <c r="H17" s="133"/>
    </row>
    <row r="18" spans="1:10" x14ac:dyDescent="0.3">
      <c r="A18" s="130"/>
      <c r="B18" s="62" t="s">
        <v>265</v>
      </c>
      <c r="C18" s="62" t="s">
        <v>311</v>
      </c>
      <c r="D18" s="62"/>
      <c r="E18" s="62" t="s">
        <v>268</v>
      </c>
      <c r="F18" s="63" t="s">
        <v>312</v>
      </c>
      <c r="G18" s="63" t="s">
        <v>313</v>
      </c>
      <c r="H18" s="133"/>
    </row>
    <row r="19" spans="1:10" x14ac:dyDescent="0.3">
      <c r="A19" s="130"/>
      <c r="B19" s="62" t="s">
        <v>265</v>
      </c>
      <c r="C19" s="62" t="s">
        <v>314</v>
      </c>
      <c r="D19" s="62"/>
      <c r="E19" s="62" t="s">
        <v>268</v>
      </c>
      <c r="F19" s="63" t="s">
        <v>315</v>
      </c>
      <c r="G19" s="63" t="s">
        <v>310</v>
      </c>
      <c r="H19" s="133"/>
    </row>
    <row r="20" spans="1:10" ht="15" thickBot="1" x14ac:dyDescent="0.35">
      <c r="A20" s="130"/>
      <c r="B20" s="63" t="s">
        <v>274</v>
      </c>
      <c r="C20" s="62" t="s">
        <v>275</v>
      </c>
      <c r="D20" s="62"/>
      <c r="E20" s="62" t="s">
        <v>276</v>
      </c>
      <c r="F20" s="63" t="s">
        <v>316</v>
      </c>
      <c r="G20" s="63" t="s">
        <v>317</v>
      </c>
      <c r="H20" s="62"/>
    </row>
    <row r="21" spans="1:10" ht="15" thickBot="1" x14ac:dyDescent="0.35">
      <c r="A21" s="130"/>
      <c r="B21" s="62" t="s">
        <v>274</v>
      </c>
      <c r="C21" s="62" t="s">
        <v>285</v>
      </c>
      <c r="D21" s="62"/>
      <c r="E21" s="62" t="s">
        <v>276</v>
      </c>
      <c r="F21" s="63" t="s">
        <v>286</v>
      </c>
      <c r="G21" s="63" t="s">
        <v>278</v>
      </c>
      <c r="H21" s="62"/>
      <c r="J21" s="100"/>
    </row>
    <row r="22" spans="1:10" x14ac:dyDescent="0.3">
      <c r="A22" s="130"/>
      <c r="B22" s="62" t="s">
        <v>274</v>
      </c>
      <c r="C22" s="62" t="s">
        <v>318</v>
      </c>
      <c r="D22" s="62"/>
      <c r="E22" s="62" t="s">
        <v>276</v>
      </c>
      <c r="F22" s="63" t="s">
        <v>280</v>
      </c>
      <c r="G22" s="63" t="s">
        <v>281</v>
      </c>
      <c r="H22" s="62"/>
    </row>
    <row r="23" spans="1:10" x14ac:dyDescent="0.3">
      <c r="A23" s="130"/>
      <c r="B23" s="62" t="s">
        <v>274</v>
      </c>
      <c r="C23" s="62" t="s">
        <v>319</v>
      </c>
      <c r="D23" s="62"/>
      <c r="E23" s="62" t="s">
        <v>276</v>
      </c>
      <c r="F23" s="63" t="s">
        <v>320</v>
      </c>
      <c r="G23" s="63" t="s">
        <v>313</v>
      </c>
      <c r="H23" s="62"/>
    </row>
    <row r="24" spans="1:10" x14ac:dyDescent="0.3">
      <c r="A24" s="130"/>
      <c r="B24" s="62" t="s">
        <v>321</v>
      </c>
      <c r="C24" s="62" t="s">
        <v>294</v>
      </c>
      <c r="D24" s="62"/>
      <c r="E24" s="62" t="s">
        <v>276</v>
      </c>
      <c r="F24" s="63" t="s">
        <v>295</v>
      </c>
      <c r="G24" s="63" t="s">
        <v>278</v>
      </c>
      <c r="H24" s="62"/>
    </row>
    <row r="25" spans="1:10" x14ac:dyDescent="0.3">
      <c r="A25" s="130"/>
      <c r="B25" s="63" t="s">
        <v>321</v>
      </c>
      <c r="C25" s="62" t="s">
        <v>322</v>
      </c>
      <c r="D25" s="62"/>
      <c r="E25" s="62" t="s">
        <v>276</v>
      </c>
      <c r="F25" s="63" t="s">
        <v>292</v>
      </c>
      <c r="G25" s="63" t="s">
        <v>293</v>
      </c>
      <c r="H25" s="62"/>
    </row>
    <row r="26" spans="1:10" x14ac:dyDescent="0.3">
      <c r="A26" s="130"/>
      <c r="B26" s="62" t="s">
        <v>321</v>
      </c>
      <c r="C26" s="62" t="s">
        <v>323</v>
      </c>
      <c r="D26" s="62"/>
      <c r="E26" s="62" t="s">
        <v>276</v>
      </c>
      <c r="F26" s="63" t="s">
        <v>324</v>
      </c>
      <c r="G26" s="63" t="s">
        <v>313</v>
      </c>
      <c r="H26" s="62"/>
    </row>
    <row r="27" spans="1:10" ht="28.8" x14ac:dyDescent="0.3">
      <c r="A27" s="130"/>
      <c r="B27" s="62" t="s">
        <v>296</v>
      </c>
      <c r="C27" s="62" t="s">
        <v>266</v>
      </c>
      <c r="D27" s="62"/>
      <c r="E27" s="62" t="s">
        <v>268</v>
      </c>
      <c r="F27" s="63" t="s">
        <v>325</v>
      </c>
      <c r="G27" s="63" t="s">
        <v>307</v>
      </c>
      <c r="H27" s="101" t="s">
        <v>308</v>
      </c>
    </row>
    <row r="28" spans="1:10" ht="28.8" x14ac:dyDescent="0.3">
      <c r="A28" s="130"/>
      <c r="B28" s="62" t="s">
        <v>296</v>
      </c>
      <c r="C28" s="62" t="s">
        <v>326</v>
      </c>
      <c r="D28" s="62"/>
      <c r="E28" s="62" t="s">
        <v>268</v>
      </c>
      <c r="F28" s="63" t="s">
        <v>327</v>
      </c>
      <c r="G28" s="63" t="s">
        <v>313</v>
      </c>
      <c r="H28" s="101" t="s">
        <v>308</v>
      </c>
    </row>
    <row r="29" spans="1:10" ht="29.4" thickBot="1" x14ac:dyDescent="0.35">
      <c r="A29" s="131"/>
      <c r="B29" s="64" t="s">
        <v>301</v>
      </c>
      <c r="C29" s="64" t="s">
        <v>302</v>
      </c>
      <c r="D29" s="64"/>
      <c r="E29" s="64" t="s">
        <v>268</v>
      </c>
      <c r="F29" s="90" t="s">
        <v>328</v>
      </c>
      <c r="G29" s="90" t="s">
        <v>304</v>
      </c>
      <c r="H29" s="102" t="s">
        <v>329</v>
      </c>
    </row>
    <row r="30" spans="1:10" x14ac:dyDescent="0.3">
      <c r="A30" s="129" t="s">
        <v>330</v>
      </c>
      <c r="B30" s="61" t="s">
        <v>265</v>
      </c>
      <c r="C30" s="61" t="s">
        <v>311</v>
      </c>
      <c r="D30" s="61" t="s">
        <v>331</v>
      </c>
      <c r="E30" s="61" t="s">
        <v>268</v>
      </c>
      <c r="F30" s="92" t="s">
        <v>332</v>
      </c>
      <c r="G30" s="61" t="s">
        <v>313</v>
      </c>
      <c r="H30" s="61"/>
    </row>
    <row r="31" spans="1:10" ht="28.8" x14ac:dyDescent="0.3">
      <c r="A31" s="130"/>
      <c r="B31" s="62" t="s">
        <v>274</v>
      </c>
      <c r="C31" s="62" t="s">
        <v>333</v>
      </c>
      <c r="D31" s="62"/>
      <c r="E31" s="62" t="s">
        <v>276</v>
      </c>
      <c r="F31" s="63" t="s">
        <v>332</v>
      </c>
      <c r="G31" s="62" t="s">
        <v>317</v>
      </c>
      <c r="H31" s="101" t="s">
        <v>334</v>
      </c>
    </row>
    <row r="32" spans="1:10" x14ac:dyDescent="0.3">
      <c r="A32" s="130"/>
      <c r="B32" s="62" t="s">
        <v>274</v>
      </c>
      <c r="C32" s="62" t="s">
        <v>320</v>
      </c>
      <c r="D32" s="62"/>
      <c r="E32" s="62" t="s">
        <v>276</v>
      </c>
      <c r="F32" s="63" t="s">
        <v>335</v>
      </c>
      <c r="G32" s="62" t="s">
        <v>313</v>
      </c>
      <c r="H32" s="133" t="s">
        <v>336</v>
      </c>
    </row>
    <row r="33" spans="1:8" ht="15" thickBot="1" x14ac:dyDescent="0.35">
      <c r="A33" s="130"/>
      <c r="B33" s="62" t="s">
        <v>321</v>
      </c>
      <c r="C33" s="62" t="s">
        <v>337</v>
      </c>
      <c r="D33" s="66"/>
      <c r="E33" s="62" t="s">
        <v>276</v>
      </c>
      <c r="F33" s="63" t="s">
        <v>338</v>
      </c>
      <c r="G33" s="62" t="s">
        <v>313</v>
      </c>
      <c r="H33" s="133"/>
    </row>
    <row r="34" spans="1:8" ht="15" thickBot="1" x14ac:dyDescent="0.35">
      <c r="A34" s="130"/>
      <c r="B34" s="62" t="s">
        <v>296</v>
      </c>
      <c r="C34" s="63" t="s">
        <v>339</v>
      </c>
      <c r="D34" s="67" t="s">
        <v>340</v>
      </c>
      <c r="E34" s="68" t="s">
        <v>268</v>
      </c>
      <c r="F34" s="63" t="s">
        <v>341</v>
      </c>
      <c r="G34" s="62" t="s">
        <v>307</v>
      </c>
      <c r="H34" s="62"/>
    </row>
    <row r="35" spans="1:8" x14ac:dyDescent="0.3">
      <c r="A35" s="130"/>
      <c r="B35" s="62" t="s">
        <v>296</v>
      </c>
      <c r="C35" s="69" t="s">
        <v>326</v>
      </c>
      <c r="D35" s="65" t="s">
        <v>342</v>
      </c>
      <c r="E35" s="62" t="s">
        <v>268</v>
      </c>
      <c r="F35" s="63" t="s">
        <v>343</v>
      </c>
      <c r="G35" s="62" t="s">
        <v>313</v>
      </c>
      <c r="H35" s="62"/>
    </row>
    <row r="36" spans="1:8" ht="15" thickBot="1" x14ac:dyDescent="0.35">
      <c r="A36" s="131"/>
      <c r="B36" s="64" t="s">
        <v>301</v>
      </c>
      <c r="C36" s="64" t="s">
        <v>302</v>
      </c>
      <c r="D36" s="64"/>
      <c r="E36" s="64" t="s">
        <v>268</v>
      </c>
      <c r="F36" s="90" t="s">
        <v>344</v>
      </c>
      <c r="G36" s="64" t="s">
        <v>304</v>
      </c>
      <c r="H36" s="64"/>
    </row>
    <row r="37" spans="1:8" x14ac:dyDescent="0.3">
      <c r="A37" s="135" t="s">
        <v>345</v>
      </c>
      <c r="B37" s="70" t="s">
        <v>265</v>
      </c>
      <c r="C37" s="70" t="s">
        <v>346</v>
      </c>
      <c r="D37" s="70"/>
      <c r="E37" s="70" t="s">
        <v>268</v>
      </c>
      <c r="F37" s="76" t="s">
        <v>347</v>
      </c>
      <c r="G37" s="70" t="s">
        <v>310</v>
      </c>
      <c r="H37" s="61"/>
    </row>
    <row r="38" spans="1:8" x14ac:dyDescent="0.3">
      <c r="A38" s="136"/>
      <c r="B38" s="69" t="s">
        <v>274</v>
      </c>
      <c r="C38" s="69" t="s">
        <v>348</v>
      </c>
      <c r="D38" s="71"/>
      <c r="E38" s="69" t="s">
        <v>276</v>
      </c>
      <c r="F38" s="79" t="s">
        <v>347</v>
      </c>
      <c r="G38" s="69" t="s">
        <v>317</v>
      </c>
      <c r="H38" s="62"/>
    </row>
    <row r="39" spans="1:8" ht="28.8" x14ac:dyDescent="0.3">
      <c r="A39" s="136"/>
      <c r="B39" s="62" t="s">
        <v>274</v>
      </c>
      <c r="C39" s="69" t="s">
        <v>318</v>
      </c>
      <c r="D39" s="69"/>
      <c r="E39" s="69" t="s">
        <v>276</v>
      </c>
      <c r="F39" s="79" t="s">
        <v>347</v>
      </c>
      <c r="G39" s="69" t="s">
        <v>281</v>
      </c>
      <c r="H39" s="97" t="s">
        <v>349</v>
      </c>
    </row>
    <row r="40" spans="1:8" x14ac:dyDescent="0.3">
      <c r="A40" s="136"/>
      <c r="B40" s="69" t="s">
        <v>350</v>
      </c>
      <c r="C40" s="69" t="s">
        <v>351</v>
      </c>
      <c r="D40" s="69"/>
      <c r="E40" s="69" t="s">
        <v>276</v>
      </c>
      <c r="F40" s="79" t="s">
        <v>347</v>
      </c>
      <c r="G40" s="69" t="s">
        <v>352</v>
      </c>
      <c r="H40" s="62"/>
    </row>
    <row r="41" spans="1:8" x14ac:dyDescent="0.3">
      <c r="A41" s="136"/>
      <c r="B41" s="69" t="s">
        <v>353</v>
      </c>
      <c r="C41" s="69" t="s">
        <v>354</v>
      </c>
      <c r="D41" s="69"/>
      <c r="E41" s="69" t="s">
        <v>268</v>
      </c>
      <c r="F41" s="79" t="s">
        <v>347</v>
      </c>
      <c r="G41" s="69" t="s">
        <v>307</v>
      </c>
      <c r="H41" s="62"/>
    </row>
    <row r="42" spans="1:8" ht="15" thickBot="1" x14ac:dyDescent="0.35">
      <c r="A42" s="137"/>
      <c r="B42" s="72" t="s">
        <v>353</v>
      </c>
      <c r="C42" s="72" t="s">
        <v>355</v>
      </c>
      <c r="D42" s="72"/>
      <c r="E42" s="72" t="s">
        <v>276</v>
      </c>
      <c r="F42" s="83" t="s">
        <v>347</v>
      </c>
      <c r="G42" s="72" t="s">
        <v>317</v>
      </c>
      <c r="H42" s="64"/>
    </row>
    <row r="43" spans="1:8" x14ac:dyDescent="0.3">
      <c r="A43" s="129" t="s">
        <v>356</v>
      </c>
      <c r="B43" s="70" t="s">
        <v>265</v>
      </c>
      <c r="C43" s="70" t="s">
        <v>346</v>
      </c>
      <c r="D43" s="70"/>
      <c r="E43" s="70" t="s">
        <v>268</v>
      </c>
      <c r="F43" s="76" t="s">
        <v>357</v>
      </c>
      <c r="G43" s="70" t="s">
        <v>310</v>
      </c>
      <c r="H43" s="61"/>
    </row>
    <row r="44" spans="1:8" ht="28.8" x14ac:dyDescent="0.3">
      <c r="A44" s="130"/>
      <c r="B44" s="69" t="s">
        <v>274</v>
      </c>
      <c r="C44" s="71" t="s">
        <v>348</v>
      </c>
      <c r="D44" s="71" t="s">
        <v>358</v>
      </c>
      <c r="E44" s="69" t="s">
        <v>276</v>
      </c>
      <c r="F44" s="79" t="s">
        <v>357</v>
      </c>
      <c r="G44" s="69" t="s">
        <v>317</v>
      </c>
      <c r="H44" s="101" t="s">
        <v>359</v>
      </c>
    </row>
    <row r="45" spans="1:8" ht="28.8" x14ac:dyDescent="0.3">
      <c r="A45" s="130"/>
      <c r="B45" s="69" t="s">
        <v>274</v>
      </c>
      <c r="C45" s="69" t="s">
        <v>360</v>
      </c>
      <c r="D45" s="65" t="s">
        <v>361</v>
      </c>
      <c r="E45" s="69" t="s">
        <v>276</v>
      </c>
      <c r="F45" s="79" t="s">
        <v>357</v>
      </c>
      <c r="G45" s="69" t="s">
        <v>313</v>
      </c>
      <c r="H45" s="101" t="s">
        <v>362</v>
      </c>
    </row>
    <row r="46" spans="1:8" ht="43.2" x14ac:dyDescent="0.3">
      <c r="A46" s="130"/>
      <c r="B46" s="69" t="s">
        <v>350</v>
      </c>
      <c r="C46" s="69" t="s">
        <v>363</v>
      </c>
      <c r="D46" s="69" t="s">
        <v>364</v>
      </c>
      <c r="E46" s="69" t="s">
        <v>276</v>
      </c>
      <c r="F46" s="79" t="s">
        <v>357</v>
      </c>
      <c r="G46" s="69" t="s">
        <v>352</v>
      </c>
      <c r="H46" s="101" t="s">
        <v>365</v>
      </c>
    </row>
    <row r="47" spans="1:8" x14ac:dyDescent="0.3">
      <c r="A47" s="130"/>
      <c r="B47" s="69" t="s">
        <v>296</v>
      </c>
      <c r="C47" s="69" t="s">
        <v>366</v>
      </c>
      <c r="D47" s="69"/>
      <c r="E47" s="69" t="s">
        <v>268</v>
      </c>
      <c r="F47" s="79" t="s">
        <v>357</v>
      </c>
      <c r="G47" s="69" t="s">
        <v>307</v>
      </c>
      <c r="H47" s="62"/>
    </row>
    <row r="48" spans="1:8" ht="28.8" x14ac:dyDescent="0.3">
      <c r="A48" s="130"/>
      <c r="B48" s="69" t="s">
        <v>296</v>
      </c>
      <c r="C48" s="69" t="s">
        <v>367</v>
      </c>
      <c r="D48" s="65" t="s">
        <v>342</v>
      </c>
      <c r="E48" s="69" t="s">
        <v>268</v>
      </c>
      <c r="F48" s="79" t="s">
        <v>357</v>
      </c>
      <c r="G48" s="69" t="s">
        <v>313</v>
      </c>
      <c r="H48" s="101" t="s">
        <v>368</v>
      </c>
    </row>
    <row r="49" spans="1:11" x14ac:dyDescent="0.3">
      <c r="A49" s="130"/>
      <c r="B49" s="69" t="s">
        <v>296</v>
      </c>
      <c r="C49" s="69" t="s">
        <v>369</v>
      </c>
      <c r="D49" s="69" t="s">
        <v>370</v>
      </c>
      <c r="E49" s="69" t="s">
        <v>268</v>
      </c>
      <c r="F49" s="79" t="s">
        <v>357</v>
      </c>
      <c r="G49" s="69" t="s">
        <v>313</v>
      </c>
      <c r="H49" s="62"/>
    </row>
    <row r="50" spans="1:11" x14ac:dyDescent="0.3">
      <c r="A50" s="130"/>
      <c r="B50" s="69" t="s">
        <v>353</v>
      </c>
      <c r="C50" s="69" t="s">
        <v>371</v>
      </c>
      <c r="D50" s="69"/>
      <c r="E50" s="69" t="s">
        <v>276</v>
      </c>
      <c r="F50" s="79" t="s">
        <v>357</v>
      </c>
      <c r="G50" s="69" t="s">
        <v>372</v>
      </c>
      <c r="H50" s="101" t="s">
        <v>373</v>
      </c>
    </row>
    <row r="51" spans="1:11" ht="29.4" thickBot="1" x14ac:dyDescent="0.35">
      <c r="A51" s="130"/>
      <c r="B51" s="73" t="s">
        <v>353</v>
      </c>
      <c r="C51" s="73" t="s">
        <v>374</v>
      </c>
      <c r="D51" s="73"/>
      <c r="E51" s="73" t="s">
        <v>268</v>
      </c>
      <c r="F51" s="93" t="s">
        <v>357</v>
      </c>
      <c r="G51" s="72" t="s">
        <v>372</v>
      </c>
      <c r="H51" s="103" t="s">
        <v>375</v>
      </c>
    </row>
    <row r="52" spans="1:11" ht="29.4" thickBot="1" x14ac:dyDescent="0.35">
      <c r="A52" s="135" t="s">
        <v>376</v>
      </c>
      <c r="B52" s="70" t="s">
        <v>265</v>
      </c>
      <c r="C52" s="70" t="s">
        <v>377</v>
      </c>
      <c r="D52" s="70"/>
      <c r="E52" s="70" t="s">
        <v>268</v>
      </c>
      <c r="F52" s="76" t="s">
        <v>378</v>
      </c>
      <c r="G52" s="76" t="s">
        <v>310</v>
      </c>
      <c r="H52" s="104" t="s">
        <v>379</v>
      </c>
      <c r="I52" s="100"/>
    </row>
    <row r="53" spans="1:11" x14ac:dyDescent="0.3">
      <c r="A53" s="136"/>
      <c r="B53" s="69" t="s">
        <v>265</v>
      </c>
      <c r="C53" s="69" t="s">
        <v>380</v>
      </c>
      <c r="D53" s="69"/>
      <c r="E53" s="69" t="s">
        <v>268</v>
      </c>
      <c r="F53" s="79" t="s">
        <v>378</v>
      </c>
      <c r="G53" s="79" t="s">
        <v>310</v>
      </c>
      <c r="H53" s="62"/>
    </row>
    <row r="54" spans="1:11" x14ac:dyDescent="0.3">
      <c r="A54" s="136"/>
      <c r="B54" s="69" t="s">
        <v>274</v>
      </c>
      <c r="C54" s="69" t="s">
        <v>348</v>
      </c>
      <c r="D54" s="69" t="s">
        <v>381</v>
      </c>
      <c r="E54" s="69" t="s">
        <v>276</v>
      </c>
      <c r="F54" s="79" t="s">
        <v>378</v>
      </c>
      <c r="G54" s="79" t="s">
        <v>317</v>
      </c>
      <c r="H54" s="62"/>
    </row>
    <row r="55" spans="1:11" x14ac:dyDescent="0.3">
      <c r="A55" s="136"/>
      <c r="B55" s="69" t="s">
        <v>274</v>
      </c>
      <c r="C55" s="69" t="s">
        <v>382</v>
      </c>
      <c r="D55" s="69" t="s">
        <v>383</v>
      </c>
      <c r="E55" s="69" t="s">
        <v>276</v>
      </c>
      <c r="F55" s="79" t="s">
        <v>378</v>
      </c>
      <c r="G55" s="79" t="s">
        <v>317</v>
      </c>
      <c r="H55" s="62"/>
    </row>
    <row r="56" spans="1:11" x14ac:dyDescent="0.3">
      <c r="A56" s="136"/>
      <c r="B56" s="69" t="s">
        <v>274</v>
      </c>
      <c r="C56" s="69" t="s">
        <v>384</v>
      </c>
      <c r="D56" s="69" t="s">
        <v>385</v>
      </c>
      <c r="E56" s="69"/>
      <c r="F56" s="79"/>
      <c r="G56" s="79" t="s">
        <v>313</v>
      </c>
      <c r="H56" s="62"/>
    </row>
    <row r="57" spans="1:11" x14ac:dyDescent="0.3">
      <c r="A57" s="136"/>
      <c r="B57" s="69" t="s">
        <v>350</v>
      </c>
      <c r="C57" s="69" t="s">
        <v>363</v>
      </c>
      <c r="D57" s="69" t="s">
        <v>386</v>
      </c>
      <c r="E57" s="69" t="s">
        <v>276</v>
      </c>
      <c r="F57" s="79" t="s">
        <v>378</v>
      </c>
      <c r="G57" s="79" t="s">
        <v>387</v>
      </c>
      <c r="H57" s="62"/>
    </row>
    <row r="58" spans="1:11" x14ac:dyDescent="0.3">
      <c r="A58" s="136"/>
      <c r="B58" s="69" t="s">
        <v>296</v>
      </c>
      <c r="C58" s="69" t="s">
        <v>366</v>
      </c>
      <c r="D58" s="69"/>
      <c r="E58" s="69" t="s">
        <v>268</v>
      </c>
      <c r="F58" s="79" t="s">
        <v>378</v>
      </c>
      <c r="G58" s="79" t="s">
        <v>307</v>
      </c>
      <c r="H58" s="62"/>
    </row>
    <row r="59" spans="1:11" x14ac:dyDescent="0.3">
      <c r="A59" s="136"/>
      <c r="B59" s="69" t="s">
        <v>296</v>
      </c>
      <c r="C59" s="69" t="s">
        <v>388</v>
      </c>
      <c r="D59" s="69" t="s">
        <v>342</v>
      </c>
      <c r="E59" s="69" t="s">
        <v>268</v>
      </c>
      <c r="F59" s="79" t="s">
        <v>378</v>
      </c>
      <c r="G59" s="79" t="s">
        <v>310</v>
      </c>
      <c r="H59" s="62"/>
    </row>
    <row r="60" spans="1:11" x14ac:dyDescent="0.3">
      <c r="A60" s="136"/>
      <c r="B60" s="69" t="s">
        <v>296</v>
      </c>
      <c r="C60" s="69" t="s">
        <v>367</v>
      </c>
      <c r="D60" s="69" t="s">
        <v>389</v>
      </c>
      <c r="E60" s="69" t="s">
        <v>268</v>
      </c>
      <c r="F60" s="79" t="s">
        <v>378</v>
      </c>
      <c r="G60" s="79" t="s">
        <v>313</v>
      </c>
      <c r="H60" s="62"/>
    </row>
    <row r="61" spans="1:11" ht="29.4" thickBot="1" x14ac:dyDescent="0.35">
      <c r="A61" s="137"/>
      <c r="B61" s="72" t="s">
        <v>353</v>
      </c>
      <c r="C61" s="72" t="s">
        <v>390</v>
      </c>
      <c r="D61" s="72"/>
      <c r="E61" s="72" t="s">
        <v>268</v>
      </c>
      <c r="F61" s="83" t="s">
        <v>378</v>
      </c>
      <c r="G61" s="83" t="s">
        <v>372</v>
      </c>
      <c r="H61" s="103" t="s">
        <v>379</v>
      </c>
    </row>
    <row r="62" spans="1:11" ht="28.8" x14ac:dyDescent="0.3">
      <c r="A62" s="127" t="s">
        <v>391</v>
      </c>
      <c r="B62" s="74" t="s">
        <v>274</v>
      </c>
      <c r="C62" s="74" t="s">
        <v>348</v>
      </c>
      <c r="D62" s="75" t="s">
        <v>392</v>
      </c>
      <c r="E62" s="74" t="s">
        <v>276</v>
      </c>
      <c r="F62" s="77" t="s">
        <v>393</v>
      </c>
      <c r="G62" s="76" t="s">
        <v>394</v>
      </c>
      <c r="H62" s="104" t="s">
        <v>395</v>
      </c>
    </row>
    <row r="63" spans="1:11" ht="15" thickBot="1" x14ac:dyDescent="0.35">
      <c r="A63" s="127"/>
      <c r="B63" s="69" t="s">
        <v>274</v>
      </c>
      <c r="C63" s="69" t="s">
        <v>318</v>
      </c>
      <c r="D63" s="74"/>
      <c r="E63" s="69" t="s">
        <v>276</v>
      </c>
      <c r="F63" s="79" t="s">
        <v>393</v>
      </c>
      <c r="G63" s="79" t="s">
        <v>281</v>
      </c>
      <c r="H63" s="101"/>
    </row>
    <row r="64" spans="1:11" ht="15" thickBot="1" x14ac:dyDescent="0.35">
      <c r="A64" s="127"/>
      <c r="B64" s="69" t="s">
        <v>350</v>
      </c>
      <c r="C64" s="69" t="s">
        <v>396</v>
      </c>
      <c r="D64" s="69"/>
      <c r="E64" s="69" t="s">
        <v>276</v>
      </c>
      <c r="F64" s="79" t="s">
        <v>393</v>
      </c>
      <c r="G64" s="79" t="s">
        <v>352</v>
      </c>
      <c r="H64" s="101"/>
      <c r="K64" s="100"/>
    </row>
    <row r="65" spans="1:11" x14ac:dyDescent="0.3">
      <c r="A65" s="127"/>
      <c r="B65" s="69" t="s">
        <v>296</v>
      </c>
      <c r="C65" s="69" t="s">
        <v>366</v>
      </c>
      <c r="D65" s="69" t="s">
        <v>397</v>
      </c>
      <c r="E65" s="69" t="s">
        <v>268</v>
      </c>
      <c r="F65" s="79" t="s">
        <v>398</v>
      </c>
      <c r="G65" s="79" t="s">
        <v>399</v>
      </c>
      <c r="H65" s="101"/>
    </row>
    <row r="66" spans="1:11" x14ac:dyDescent="0.3">
      <c r="A66" s="127"/>
      <c r="B66" s="69" t="s">
        <v>296</v>
      </c>
      <c r="C66" s="69" t="s">
        <v>367</v>
      </c>
      <c r="D66" s="69" t="s">
        <v>400</v>
      </c>
      <c r="E66" s="69" t="s">
        <v>268</v>
      </c>
      <c r="F66" s="79" t="s">
        <v>401</v>
      </c>
      <c r="G66" s="79" t="s">
        <v>313</v>
      </c>
      <c r="H66" s="101"/>
    </row>
    <row r="67" spans="1:11" ht="15" thickBot="1" x14ac:dyDescent="0.35">
      <c r="A67" s="128"/>
      <c r="B67" s="72" t="s">
        <v>353</v>
      </c>
      <c r="C67" s="72" t="s">
        <v>402</v>
      </c>
      <c r="D67" s="72"/>
      <c r="E67" s="72" t="s">
        <v>268</v>
      </c>
      <c r="F67" s="94" t="s">
        <v>403</v>
      </c>
      <c r="G67" s="83" t="s">
        <v>372</v>
      </c>
      <c r="H67" s="103"/>
    </row>
    <row r="68" spans="1:11" ht="43.8" thickBot="1" x14ac:dyDescent="0.35">
      <c r="A68" s="126" t="s">
        <v>404</v>
      </c>
      <c r="B68" s="70" t="s">
        <v>265</v>
      </c>
      <c r="C68" s="70" t="s">
        <v>405</v>
      </c>
      <c r="D68" s="70"/>
      <c r="E68" s="70" t="s">
        <v>268</v>
      </c>
      <c r="F68" s="76" t="s">
        <v>406</v>
      </c>
      <c r="G68" s="76" t="s">
        <v>310</v>
      </c>
      <c r="H68" s="104" t="s">
        <v>407</v>
      </c>
      <c r="I68" s="100"/>
    </row>
    <row r="69" spans="1:11" x14ac:dyDescent="0.3">
      <c r="A69" s="127"/>
      <c r="B69" s="69" t="s">
        <v>274</v>
      </c>
      <c r="C69" s="69" t="s">
        <v>408</v>
      </c>
      <c r="D69" s="69"/>
      <c r="E69" s="69" t="s">
        <v>276</v>
      </c>
      <c r="F69" s="79" t="s">
        <v>406</v>
      </c>
      <c r="G69" s="79" t="s">
        <v>317</v>
      </c>
      <c r="H69" s="62"/>
    </row>
    <row r="70" spans="1:11" x14ac:dyDescent="0.3">
      <c r="A70" s="127"/>
      <c r="B70" s="69" t="s">
        <v>350</v>
      </c>
      <c r="C70" s="69" t="s">
        <v>409</v>
      </c>
      <c r="D70" s="69"/>
      <c r="E70" s="69" t="s">
        <v>276</v>
      </c>
      <c r="F70" s="79" t="s">
        <v>406</v>
      </c>
      <c r="G70" s="79" t="s">
        <v>352</v>
      </c>
      <c r="H70" s="62"/>
    </row>
    <row r="71" spans="1:11" ht="43.8" thickBot="1" x14ac:dyDescent="0.35">
      <c r="A71" s="128"/>
      <c r="B71" s="72" t="s">
        <v>353</v>
      </c>
      <c r="C71" s="72" t="s">
        <v>410</v>
      </c>
      <c r="D71" s="72"/>
      <c r="E71" s="72" t="s">
        <v>172</v>
      </c>
      <c r="F71" s="83" t="s">
        <v>411</v>
      </c>
      <c r="G71" s="83" t="s">
        <v>313</v>
      </c>
      <c r="H71" s="103" t="s">
        <v>407</v>
      </c>
    </row>
    <row r="72" spans="1:11" ht="101.4" thickBot="1" x14ac:dyDescent="0.35">
      <c r="A72" s="126" t="s">
        <v>412</v>
      </c>
      <c r="B72" s="70" t="s">
        <v>274</v>
      </c>
      <c r="C72" s="70" t="s">
        <v>348</v>
      </c>
      <c r="D72" s="70" t="s">
        <v>413</v>
      </c>
      <c r="E72" s="70" t="s">
        <v>276</v>
      </c>
      <c r="F72" s="76" t="s">
        <v>414</v>
      </c>
      <c r="G72" s="76" t="s">
        <v>317</v>
      </c>
      <c r="H72" s="104" t="s">
        <v>415</v>
      </c>
    </row>
    <row r="73" spans="1:11" ht="15" thickBot="1" x14ac:dyDescent="0.35">
      <c r="A73" s="127"/>
      <c r="B73" s="76" t="s">
        <v>274</v>
      </c>
      <c r="C73" s="77" t="s">
        <v>416</v>
      </c>
      <c r="D73" s="74"/>
      <c r="E73" s="74" t="s">
        <v>276</v>
      </c>
      <c r="F73" s="77" t="s">
        <v>417</v>
      </c>
      <c r="G73" s="79" t="s">
        <v>418</v>
      </c>
      <c r="H73" s="62" t="s">
        <v>419</v>
      </c>
    </row>
    <row r="74" spans="1:11" ht="15" thickBot="1" x14ac:dyDescent="0.35">
      <c r="A74" s="127"/>
      <c r="B74" s="76" t="s">
        <v>274</v>
      </c>
      <c r="C74" s="74" t="s">
        <v>318</v>
      </c>
      <c r="D74" s="74"/>
      <c r="E74" s="74" t="s">
        <v>276</v>
      </c>
      <c r="F74" s="77" t="s">
        <v>420</v>
      </c>
      <c r="G74" s="79" t="s">
        <v>421</v>
      </c>
      <c r="H74" s="62" t="s">
        <v>419</v>
      </c>
      <c r="K74" s="100"/>
    </row>
    <row r="75" spans="1:11" x14ac:dyDescent="0.3">
      <c r="A75" s="127"/>
      <c r="B75" s="76" t="s">
        <v>274</v>
      </c>
      <c r="C75" s="74" t="s">
        <v>295</v>
      </c>
      <c r="D75" s="74" t="s">
        <v>266</v>
      </c>
      <c r="E75" s="74" t="s">
        <v>276</v>
      </c>
      <c r="F75" s="77" t="s">
        <v>294</v>
      </c>
      <c r="G75" s="79" t="s">
        <v>278</v>
      </c>
      <c r="H75" s="62" t="s">
        <v>419</v>
      </c>
    </row>
    <row r="76" spans="1:11" x14ac:dyDescent="0.3">
      <c r="A76" s="127"/>
      <c r="B76" s="69" t="s">
        <v>350</v>
      </c>
      <c r="C76" s="69" t="s">
        <v>422</v>
      </c>
      <c r="D76" s="69"/>
      <c r="E76" s="69" t="s">
        <v>276</v>
      </c>
      <c r="F76" s="79" t="s">
        <v>423</v>
      </c>
      <c r="G76" s="79" t="s">
        <v>424</v>
      </c>
      <c r="H76" s="62" t="s">
        <v>419</v>
      </c>
    </row>
    <row r="77" spans="1:11" ht="29.4" thickBot="1" x14ac:dyDescent="0.35">
      <c r="A77" s="128"/>
      <c r="B77" s="72" t="s">
        <v>353</v>
      </c>
      <c r="C77" s="72" t="s">
        <v>425</v>
      </c>
      <c r="D77" s="72"/>
      <c r="E77" s="72" t="s">
        <v>426</v>
      </c>
      <c r="F77" s="83" t="s">
        <v>427</v>
      </c>
      <c r="G77" s="83" t="s">
        <v>372</v>
      </c>
      <c r="H77" s="103" t="s">
        <v>428</v>
      </c>
    </row>
    <row r="78" spans="1:11" ht="29.4" thickBot="1" x14ac:dyDescent="0.35">
      <c r="A78" s="126" t="s">
        <v>429</v>
      </c>
      <c r="B78" s="70" t="s">
        <v>265</v>
      </c>
      <c r="C78" s="70" t="s">
        <v>430</v>
      </c>
      <c r="D78" s="70"/>
      <c r="E78" s="70" t="s">
        <v>268</v>
      </c>
      <c r="F78" s="76" t="s">
        <v>143</v>
      </c>
      <c r="G78" s="76" t="s">
        <v>313</v>
      </c>
      <c r="H78" s="104" t="s">
        <v>431</v>
      </c>
      <c r="K78" s="100"/>
    </row>
    <row r="79" spans="1:11" x14ac:dyDescent="0.3">
      <c r="A79" s="127"/>
      <c r="B79" s="69" t="s">
        <v>274</v>
      </c>
      <c r="C79" s="69" t="s">
        <v>360</v>
      </c>
      <c r="D79" s="65" t="s">
        <v>432</v>
      </c>
      <c r="E79" s="69" t="s">
        <v>276</v>
      </c>
      <c r="F79" s="79" t="s">
        <v>433</v>
      </c>
      <c r="G79" s="79" t="s">
        <v>313</v>
      </c>
      <c r="H79" s="133" t="s">
        <v>434</v>
      </c>
    </row>
    <row r="80" spans="1:11" x14ac:dyDescent="0.3">
      <c r="A80" s="127"/>
      <c r="B80" s="69" t="s">
        <v>350</v>
      </c>
      <c r="C80" s="69" t="s">
        <v>435</v>
      </c>
      <c r="D80" s="69"/>
      <c r="E80" s="69" t="s">
        <v>276</v>
      </c>
      <c r="F80" s="79" t="s">
        <v>433</v>
      </c>
      <c r="G80" s="79" t="s">
        <v>313</v>
      </c>
      <c r="H80" s="133"/>
    </row>
    <row r="81" spans="1:10" ht="29.4" thickBot="1" x14ac:dyDescent="0.35">
      <c r="A81" s="127"/>
      <c r="B81" s="73" t="s">
        <v>353</v>
      </c>
      <c r="C81" s="73" t="s">
        <v>436</v>
      </c>
      <c r="D81" s="73" t="s">
        <v>437</v>
      </c>
      <c r="E81" s="73" t="s">
        <v>268</v>
      </c>
      <c r="F81" s="93" t="s">
        <v>301</v>
      </c>
      <c r="G81" s="83" t="s">
        <v>438</v>
      </c>
      <c r="H81" s="103" t="s">
        <v>431</v>
      </c>
    </row>
    <row r="82" spans="1:10" ht="29.4" thickBot="1" x14ac:dyDescent="0.35">
      <c r="A82" s="126" t="s">
        <v>439</v>
      </c>
      <c r="B82" s="70" t="s">
        <v>274</v>
      </c>
      <c r="C82" s="70" t="s">
        <v>440</v>
      </c>
      <c r="D82" s="70" t="s">
        <v>441</v>
      </c>
      <c r="E82" s="70" t="s">
        <v>276</v>
      </c>
      <c r="F82" s="76" t="s">
        <v>442</v>
      </c>
      <c r="G82" s="76" t="s">
        <v>317</v>
      </c>
      <c r="H82" s="104" t="s">
        <v>443</v>
      </c>
    </row>
    <row r="83" spans="1:10" ht="15" thickBot="1" x14ac:dyDescent="0.35">
      <c r="A83" s="127"/>
      <c r="B83" s="69" t="s">
        <v>350</v>
      </c>
      <c r="C83" s="69" t="s">
        <v>444</v>
      </c>
      <c r="D83" s="69" t="s">
        <v>445</v>
      </c>
      <c r="E83" s="69" t="s">
        <v>276</v>
      </c>
      <c r="F83" s="79" t="s">
        <v>442</v>
      </c>
      <c r="G83" s="79" t="s">
        <v>317</v>
      </c>
      <c r="H83" s="133" t="s">
        <v>446</v>
      </c>
      <c r="J83" s="100"/>
    </row>
    <row r="84" spans="1:10" ht="15" thickBot="1" x14ac:dyDescent="0.35">
      <c r="A84" s="128"/>
      <c r="B84" s="72" t="s">
        <v>353</v>
      </c>
      <c r="C84" s="72" t="s">
        <v>447</v>
      </c>
      <c r="D84" s="72" t="s">
        <v>448</v>
      </c>
      <c r="E84" s="72" t="s">
        <v>276</v>
      </c>
      <c r="F84" s="83" t="s">
        <v>442</v>
      </c>
      <c r="G84" s="83" t="s">
        <v>372</v>
      </c>
      <c r="H84" s="138"/>
    </row>
    <row r="85" spans="1:10" ht="72.599999999999994" thickBot="1" x14ac:dyDescent="0.35">
      <c r="A85" s="127" t="s">
        <v>449</v>
      </c>
      <c r="B85" s="74" t="s">
        <v>265</v>
      </c>
      <c r="C85" s="74" t="s">
        <v>450</v>
      </c>
      <c r="D85" s="74"/>
      <c r="E85" s="74" t="s">
        <v>268</v>
      </c>
      <c r="F85" s="77" t="s">
        <v>451</v>
      </c>
      <c r="G85" s="76" t="s">
        <v>313</v>
      </c>
      <c r="H85" s="104" t="s">
        <v>452</v>
      </c>
    </row>
    <row r="86" spans="1:10" ht="29.4" thickBot="1" x14ac:dyDescent="0.35">
      <c r="A86" s="127"/>
      <c r="B86" s="69" t="s">
        <v>265</v>
      </c>
      <c r="C86" s="69" t="s">
        <v>355</v>
      </c>
      <c r="D86" s="69" t="s">
        <v>291</v>
      </c>
      <c r="E86" s="69" t="s">
        <v>276</v>
      </c>
      <c r="F86" s="79" t="s">
        <v>451</v>
      </c>
      <c r="G86" s="79" t="s">
        <v>317</v>
      </c>
      <c r="H86" s="101" t="s">
        <v>453</v>
      </c>
      <c r="I86" s="100"/>
    </row>
    <row r="87" spans="1:10" ht="28.8" x14ac:dyDescent="0.3">
      <c r="A87" s="127"/>
      <c r="B87" s="69" t="s">
        <v>274</v>
      </c>
      <c r="C87" s="69" t="s">
        <v>454</v>
      </c>
      <c r="D87" s="69"/>
      <c r="E87" s="69" t="s">
        <v>276</v>
      </c>
      <c r="F87" s="79" t="s">
        <v>451</v>
      </c>
      <c r="G87" s="79" t="s">
        <v>317</v>
      </c>
      <c r="H87" s="101" t="s">
        <v>455</v>
      </c>
    </row>
    <row r="88" spans="1:10" x14ac:dyDescent="0.3">
      <c r="A88" s="127"/>
      <c r="B88" s="69" t="s">
        <v>350</v>
      </c>
      <c r="C88" s="69" t="s">
        <v>409</v>
      </c>
      <c r="D88" s="69" t="s">
        <v>456</v>
      </c>
      <c r="E88" s="69" t="s">
        <v>276</v>
      </c>
      <c r="F88" s="79" t="s">
        <v>451</v>
      </c>
      <c r="G88" s="79" t="s">
        <v>352</v>
      </c>
      <c r="H88" s="62" t="s">
        <v>457</v>
      </c>
    </row>
    <row r="89" spans="1:10" x14ac:dyDescent="0.3">
      <c r="A89" s="127"/>
      <c r="B89" s="69" t="s">
        <v>353</v>
      </c>
      <c r="C89" s="69" t="s">
        <v>458</v>
      </c>
      <c r="D89" s="69"/>
      <c r="E89" s="69" t="s">
        <v>276</v>
      </c>
      <c r="F89" s="79" t="s">
        <v>451</v>
      </c>
      <c r="G89" s="79" t="s">
        <v>317</v>
      </c>
      <c r="H89" s="62"/>
    </row>
    <row r="90" spans="1:10" ht="72.599999999999994" thickBot="1" x14ac:dyDescent="0.35">
      <c r="A90" s="128"/>
      <c r="B90" s="72" t="s">
        <v>353</v>
      </c>
      <c r="C90" s="72" t="s">
        <v>459</v>
      </c>
      <c r="D90" s="64"/>
      <c r="E90" s="72" t="s">
        <v>268</v>
      </c>
      <c r="F90" s="83" t="s">
        <v>451</v>
      </c>
      <c r="G90" s="83" t="s">
        <v>313</v>
      </c>
      <c r="H90" s="102" t="s">
        <v>452</v>
      </c>
    </row>
    <row r="91" spans="1:10" x14ac:dyDescent="0.3">
      <c r="A91" s="126" t="s">
        <v>460</v>
      </c>
      <c r="B91" s="70" t="s">
        <v>296</v>
      </c>
      <c r="C91" s="70" t="s">
        <v>366</v>
      </c>
      <c r="D91" s="70"/>
      <c r="E91" s="70" t="s">
        <v>268</v>
      </c>
      <c r="F91" s="76" t="s">
        <v>461</v>
      </c>
      <c r="G91" s="70" t="s">
        <v>307</v>
      </c>
      <c r="H91" s="61"/>
    </row>
    <row r="92" spans="1:10" ht="43.2" x14ac:dyDescent="0.3">
      <c r="A92" s="127"/>
      <c r="B92" s="69" t="s">
        <v>296</v>
      </c>
      <c r="C92" s="69" t="s">
        <v>367</v>
      </c>
      <c r="D92" s="78" t="s">
        <v>462</v>
      </c>
      <c r="E92" s="69" t="s">
        <v>268</v>
      </c>
      <c r="F92" s="79" t="s">
        <v>461</v>
      </c>
      <c r="G92" s="69" t="s">
        <v>313</v>
      </c>
      <c r="H92" s="101" t="s">
        <v>463</v>
      </c>
    </row>
    <row r="93" spans="1:10" ht="28.8" x14ac:dyDescent="0.3">
      <c r="A93" s="127"/>
      <c r="B93" s="69" t="s">
        <v>296</v>
      </c>
      <c r="C93" s="69" t="s">
        <v>464</v>
      </c>
      <c r="D93" s="59" t="s">
        <v>465</v>
      </c>
      <c r="E93" s="69" t="s">
        <v>268</v>
      </c>
      <c r="F93" s="79" t="s">
        <v>461</v>
      </c>
      <c r="G93" s="69" t="s">
        <v>313</v>
      </c>
      <c r="H93" s="101" t="s">
        <v>466</v>
      </c>
    </row>
    <row r="94" spans="1:10" ht="29.4" thickBot="1" x14ac:dyDescent="0.35">
      <c r="A94" s="128"/>
      <c r="B94" s="72" t="s">
        <v>353</v>
      </c>
      <c r="C94" s="72" t="s">
        <v>467</v>
      </c>
      <c r="D94" s="72"/>
      <c r="E94" s="72" t="s">
        <v>268</v>
      </c>
      <c r="F94" s="83" t="s">
        <v>461</v>
      </c>
      <c r="G94" s="72" t="s">
        <v>372</v>
      </c>
      <c r="H94" s="102" t="s">
        <v>468</v>
      </c>
    </row>
    <row r="95" spans="1:10" x14ac:dyDescent="0.3">
      <c r="A95" s="126" t="s">
        <v>469</v>
      </c>
      <c r="B95" s="70" t="s">
        <v>265</v>
      </c>
      <c r="C95" s="70" t="s">
        <v>470</v>
      </c>
      <c r="D95" s="70"/>
      <c r="E95" s="70" t="s">
        <v>172</v>
      </c>
      <c r="F95" s="76" t="s">
        <v>471</v>
      </c>
      <c r="G95" s="70" t="s">
        <v>310</v>
      </c>
      <c r="H95" s="61"/>
    </row>
    <row r="96" spans="1:10" ht="43.2" x14ac:dyDescent="0.3">
      <c r="A96" s="127"/>
      <c r="B96" s="69" t="s">
        <v>274</v>
      </c>
      <c r="C96" s="79" t="s">
        <v>472</v>
      </c>
      <c r="D96" s="80" t="s">
        <v>473</v>
      </c>
      <c r="E96" s="69" t="s">
        <v>276</v>
      </c>
      <c r="F96" s="79" t="s">
        <v>471</v>
      </c>
      <c r="G96" s="69" t="s">
        <v>317</v>
      </c>
      <c r="H96" s="101" t="s">
        <v>474</v>
      </c>
    </row>
    <row r="97" spans="1:11" x14ac:dyDescent="0.3">
      <c r="A97" s="127"/>
      <c r="B97" s="69" t="s">
        <v>274</v>
      </c>
      <c r="C97" s="69" t="s">
        <v>475</v>
      </c>
      <c r="D97" s="80" t="s">
        <v>476</v>
      </c>
      <c r="E97" s="69" t="s">
        <v>276</v>
      </c>
      <c r="F97" s="79" t="s">
        <v>471</v>
      </c>
      <c r="G97" s="69" t="s">
        <v>313</v>
      </c>
      <c r="H97" s="139" t="s">
        <v>477</v>
      </c>
    </row>
    <row r="98" spans="1:11" x14ac:dyDescent="0.3">
      <c r="A98" s="127"/>
      <c r="B98" s="69" t="s">
        <v>350</v>
      </c>
      <c r="C98" s="69" t="s">
        <v>478</v>
      </c>
      <c r="D98" s="69"/>
      <c r="E98" s="69" t="s">
        <v>276</v>
      </c>
      <c r="F98" s="79" t="s">
        <v>471</v>
      </c>
      <c r="G98" s="69" t="s">
        <v>372</v>
      </c>
      <c r="H98" s="139"/>
    </row>
    <row r="99" spans="1:11" x14ac:dyDescent="0.3">
      <c r="A99" s="127"/>
      <c r="B99" s="69" t="s">
        <v>296</v>
      </c>
      <c r="C99" s="69" t="s">
        <v>366</v>
      </c>
      <c r="D99" s="69"/>
      <c r="E99" s="69" t="s">
        <v>172</v>
      </c>
      <c r="F99" s="79" t="s">
        <v>471</v>
      </c>
      <c r="G99" s="69" t="s">
        <v>307</v>
      </c>
      <c r="H99" s="62"/>
    </row>
    <row r="100" spans="1:11" x14ac:dyDescent="0.3">
      <c r="A100" s="127"/>
      <c r="B100" s="69" t="s">
        <v>296</v>
      </c>
      <c r="C100" s="69" t="s">
        <v>367</v>
      </c>
      <c r="D100" s="69"/>
      <c r="E100" s="69" t="s">
        <v>172</v>
      </c>
      <c r="F100" s="79" t="s">
        <v>471</v>
      </c>
      <c r="G100" s="69" t="s">
        <v>313</v>
      </c>
      <c r="H100" s="62"/>
    </row>
    <row r="101" spans="1:11" ht="15" thickBot="1" x14ac:dyDescent="0.35">
      <c r="A101" s="128"/>
      <c r="B101" s="72" t="s">
        <v>353</v>
      </c>
      <c r="C101" s="72" t="s">
        <v>479</v>
      </c>
      <c r="D101" s="72"/>
      <c r="E101" s="72" t="s">
        <v>172</v>
      </c>
      <c r="F101" s="83" t="s">
        <v>471</v>
      </c>
      <c r="G101" s="72" t="s">
        <v>372</v>
      </c>
      <c r="H101" s="66"/>
    </row>
    <row r="102" spans="1:11" ht="29.4" thickBot="1" x14ac:dyDescent="0.35">
      <c r="A102" s="126" t="s">
        <v>480</v>
      </c>
      <c r="B102" s="70" t="s">
        <v>296</v>
      </c>
      <c r="C102" s="70" t="s">
        <v>367</v>
      </c>
      <c r="D102" s="70" t="s">
        <v>481</v>
      </c>
      <c r="E102" s="70" t="s">
        <v>268</v>
      </c>
      <c r="F102" s="76" t="s">
        <v>482</v>
      </c>
      <c r="G102" s="76" t="s">
        <v>313</v>
      </c>
      <c r="H102" s="104" t="s">
        <v>483</v>
      </c>
    </row>
    <row r="103" spans="1:11" ht="15" thickBot="1" x14ac:dyDescent="0.35">
      <c r="A103" s="128"/>
      <c r="B103" s="72" t="s">
        <v>353</v>
      </c>
      <c r="C103" s="72" t="s">
        <v>484</v>
      </c>
      <c r="D103" s="72" t="s">
        <v>481</v>
      </c>
      <c r="E103" s="72" t="s">
        <v>268</v>
      </c>
      <c r="F103" s="83" t="s">
        <v>482</v>
      </c>
      <c r="G103" s="83" t="s">
        <v>372</v>
      </c>
      <c r="H103" s="66"/>
      <c r="K103" s="100"/>
    </row>
    <row r="104" spans="1:11" ht="28.8" x14ac:dyDescent="0.3">
      <c r="A104" s="129" t="s">
        <v>485</v>
      </c>
      <c r="B104" s="70" t="s">
        <v>265</v>
      </c>
      <c r="C104" s="76" t="s">
        <v>380</v>
      </c>
      <c r="D104" s="70" t="s">
        <v>437</v>
      </c>
      <c r="E104" s="81" t="s">
        <v>268</v>
      </c>
      <c r="F104" s="76" t="s">
        <v>486</v>
      </c>
      <c r="G104" s="76" t="s">
        <v>310</v>
      </c>
      <c r="H104" s="104" t="s">
        <v>487</v>
      </c>
    </row>
    <row r="105" spans="1:11" ht="29.4" thickBot="1" x14ac:dyDescent="0.35">
      <c r="A105" s="130"/>
      <c r="B105" s="69" t="s">
        <v>265</v>
      </c>
      <c r="C105" s="79" t="s">
        <v>366</v>
      </c>
      <c r="D105" s="69" t="s">
        <v>488</v>
      </c>
      <c r="E105" s="82" t="s">
        <v>268</v>
      </c>
      <c r="F105" s="79" t="s">
        <v>486</v>
      </c>
      <c r="G105" s="79" t="s">
        <v>307</v>
      </c>
      <c r="H105" s="101" t="s">
        <v>489</v>
      </c>
    </row>
    <row r="106" spans="1:11" ht="29.4" thickBot="1" x14ac:dyDescent="0.35">
      <c r="A106" s="130"/>
      <c r="B106" s="69" t="s">
        <v>274</v>
      </c>
      <c r="C106" s="79" t="s">
        <v>348</v>
      </c>
      <c r="D106" s="69" t="s">
        <v>490</v>
      </c>
      <c r="E106" s="82" t="s">
        <v>276</v>
      </c>
      <c r="F106" s="79" t="s">
        <v>486</v>
      </c>
      <c r="G106" s="79" t="s">
        <v>317</v>
      </c>
      <c r="H106" s="101" t="s">
        <v>491</v>
      </c>
      <c r="J106" s="100"/>
    </row>
    <row r="107" spans="1:11" ht="28.8" x14ac:dyDescent="0.3">
      <c r="A107" s="130"/>
      <c r="B107" s="69" t="s">
        <v>350</v>
      </c>
      <c r="C107" s="79" t="s">
        <v>492</v>
      </c>
      <c r="D107" s="69" t="s">
        <v>291</v>
      </c>
      <c r="E107" s="82" t="s">
        <v>276</v>
      </c>
      <c r="F107" s="79" t="s">
        <v>486</v>
      </c>
      <c r="G107" s="79" t="s">
        <v>372</v>
      </c>
      <c r="H107" s="101" t="s">
        <v>308</v>
      </c>
    </row>
    <row r="108" spans="1:11" ht="15" thickBot="1" x14ac:dyDescent="0.35">
      <c r="A108" s="131"/>
      <c r="B108" s="72" t="s">
        <v>353</v>
      </c>
      <c r="C108" s="83" t="s">
        <v>493</v>
      </c>
      <c r="D108" s="72"/>
      <c r="E108" s="84" t="s">
        <v>172</v>
      </c>
      <c r="F108" s="83" t="s">
        <v>486</v>
      </c>
      <c r="G108" s="83" t="s">
        <v>372</v>
      </c>
      <c r="H108" s="66"/>
    </row>
    <row r="109" spans="1:11" ht="29.4" thickBot="1" x14ac:dyDescent="0.35">
      <c r="A109" s="127" t="s">
        <v>494</v>
      </c>
      <c r="B109" s="74" t="s">
        <v>265</v>
      </c>
      <c r="C109" s="77" t="s">
        <v>430</v>
      </c>
      <c r="D109" s="70" t="s">
        <v>495</v>
      </c>
      <c r="E109" s="81" t="s">
        <v>172</v>
      </c>
      <c r="F109" s="76" t="s">
        <v>496</v>
      </c>
      <c r="G109" s="76" t="s">
        <v>313</v>
      </c>
      <c r="H109" s="104" t="s">
        <v>431</v>
      </c>
    </row>
    <row r="110" spans="1:11" ht="15" thickBot="1" x14ac:dyDescent="0.35">
      <c r="A110" s="127"/>
      <c r="B110" s="69" t="s">
        <v>274</v>
      </c>
      <c r="C110" s="79" t="s">
        <v>348</v>
      </c>
      <c r="D110" s="69" t="s">
        <v>333</v>
      </c>
      <c r="E110" s="82" t="s">
        <v>276</v>
      </c>
      <c r="F110" s="79" t="s">
        <v>496</v>
      </c>
      <c r="G110" s="79" t="s">
        <v>317</v>
      </c>
      <c r="H110" s="62"/>
      <c r="I110" s="100"/>
    </row>
    <row r="111" spans="1:11" ht="28.8" x14ac:dyDescent="0.3">
      <c r="A111" s="127"/>
      <c r="B111" s="69" t="s">
        <v>350</v>
      </c>
      <c r="C111" s="79" t="s">
        <v>363</v>
      </c>
      <c r="D111" s="69" t="s">
        <v>323</v>
      </c>
      <c r="E111" s="82" t="s">
        <v>276</v>
      </c>
      <c r="F111" s="79" t="s">
        <v>496</v>
      </c>
      <c r="G111" s="79" t="s">
        <v>352</v>
      </c>
      <c r="H111" s="101" t="s">
        <v>497</v>
      </c>
    </row>
    <row r="112" spans="1:11" ht="15" thickBot="1" x14ac:dyDescent="0.35">
      <c r="A112" s="128"/>
      <c r="B112" s="72" t="s">
        <v>353</v>
      </c>
      <c r="C112" s="83" t="s">
        <v>498</v>
      </c>
      <c r="D112" s="72" t="s">
        <v>499</v>
      </c>
      <c r="E112" s="84" t="s">
        <v>172</v>
      </c>
      <c r="F112" s="83" t="s">
        <v>496</v>
      </c>
      <c r="G112" s="83" t="s">
        <v>372</v>
      </c>
      <c r="H112" s="66"/>
    </row>
    <row r="113" spans="1:11" ht="29.4" thickBot="1" x14ac:dyDescent="0.35">
      <c r="A113" s="126" t="s">
        <v>500</v>
      </c>
      <c r="B113" s="70" t="s">
        <v>350</v>
      </c>
      <c r="C113" s="70" t="s">
        <v>501</v>
      </c>
      <c r="D113" s="70"/>
      <c r="E113" s="70" t="s">
        <v>276</v>
      </c>
      <c r="F113" s="76" t="s">
        <v>502</v>
      </c>
      <c r="G113" s="76" t="s">
        <v>352</v>
      </c>
      <c r="H113" s="104" t="s">
        <v>503</v>
      </c>
      <c r="J113" s="100"/>
    </row>
    <row r="114" spans="1:11" ht="28.8" x14ac:dyDescent="0.3">
      <c r="A114" s="127"/>
      <c r="B114" s="69" t="s">
        <v>296</v>
      </c>
      <c r="C114" s="69" t="s">
        <v>366</v>
      </c>
      <c r="D114" s="69" t="s">
        <v>504</v>
      </c>
      <c r="E114" s="69" t="s">
        <v>172</v>
      </c>
      <c r="F114" s="79" t="s">
        <v>502</v>
      </c>
      <c r="G114" s="79" t="s">
        <v>307</v>
      </c>
      <c r="H114" s="101" t="s">
        <v>505</v>
      </c>
    </row>
    <row r="115" spans="1:11" ht="28.8" x14ac:dyDescent="0.3">
      <c r="A115" s="127"/>
      <c r="B115" s="69" t="s">
        <v>296</v>
      </c>
      <c r="C115" s="69" t="s">
        <v>367</v>
      </c>
      <c r="D115" s="69" t="s">
        <v>506</v>
      </c>
      <c r="E115" s="69" t="s">
        <v>172</v>
      </c>
      <c r="F115" s="79" t="s">
        <v>502</v>
      </c>
      <c r="G115" s="79" t="s">
        <v>313</v>
      </c>
      <c r="H115" s="101" t="s">
        <v>505</v>
      </c>
    </row>
    <row r="116" spans="1:11" ht="28.8" x14ac:dyDescent="0.3">
      <c r="A116" s="127"/>
      <c r="B116" s="69" t="s">
        <v>296</v>
      </c>
      <c r="C116" s="69" t="s">
        <v>464</v>
      </c>
      <c r="D116" s="69" t="s">
        <v>507</v>
      </c>
      <c r="E116" s="69" t="s">
        <v>172</v>
      </c>
      <c r="F116" s="79" t="s">
        <v>502</v>
      </c>
      <c r="G116" s="79" t="s">
        <v>313</v>
      </c>
      <c r="H116" s="101" t="s">
        <v>508</v>
      </c>
    </row>
    <row r="117" spans="1:11" ht="28.8" x14ac:dyDescent="0.3">
      <c r="A117" s="127"/>
      <c r="B117" s="69" t="s">
        <v>296</v>
      </c>
      <c r="C117" s="69" t="s">
        <v>363</v>
      </c>
      <c r="D117" s="69" t="s">
        <v>509</v>
      </c>
      <c r="E117" s="69" t="s">
        <v>276</v>
      </c>
      <c r="F117" s="79" t="s">
        <v>502</v>
      </c>
      <c r="G117" s="63" t="s">
        <v>352</v>
      </c>
      <c r="H117" s="101" t="s">
        <v>505</v>
      </c>
    </row>
    <row r="118" spans="1:11" ht="29.4" thickBot="1" x14ac:dyDescent="0.35">
      <c r="A118" s="128"/>
      <c r="B118" s="72" t="s">
        <v>353</v>
      </c>
      <c r="C118" s="72" t="s">
        <v>510</v>
      </c>
      <c r="D118" s="72"/>
      <c r="E118" s="72" t="s">
        <v>172</v>
      </c>
      <c r="F118" s="83" t="s">
        <v>502</v>
      </c>
      <c r="G118" s="83" t="s">
        <v>372</v>
      </c>
      <c r="H118" s="103" t="s">
        <v>511</v>
      </c>
    </row>
    <row r="119" spans="1:11" ht="58.2" thickBot="1" x14ac:dyDescent="0.35">
      <c r="A119" s="127" t="s">
        <v>512</v>
      </c>
      <c r="B119" s="74" t="s">
        <v>350</v>
      </c>
      <c r="C119" s="74" t="s">
        <v>513</v>
      </c>
      <c r="D119" s="74"/>
      <c r="E119" s="74" t="s">
        <v>268</v>
      </c>
      <c r="F119" s="77" t="s">
        <v>514</v>
      </c>
      <c r="G119" s="76" t="s">
        <v>372</v>
      </c>
      <c r="H119" s="104" t="s">
        <v>515</v>
      </c>
    </row>
    <row r="120" spans="1:11" ht="43.8" thickBot="1" x14ac:dyDescent="0.35">
      <c r="A120" s="127"/>
      <c r="B120" s="69" t="s">
        <v>296</v>
      </c>
      <c r="C120" s="69" t="s">
        <v>367</v>
      </c>
      <c r="D120" s="69" t="s">
        <v>516</v>
      </c>
      <c r="E120" s="69" t="s">
        <v>268</v>
      </c>
      <c r="F120" s="79" t="s">
        <v>517</v>
      </c>
      <c r="G120" s="79" t="s">
        <v>313</v>
      </c>
      <c r="H120" s="101" t="s">
        <v>518</v>
      </c>
      <c r="J120" s="100"/>
    </row>
    <row r="121" spans="1:11" ht="43.2" x14ac:dyDescent="0.3">
      <c r="A121" s="127"/>
      <c r="B121" s="69" t="s">
        <v>296</v>
      </c>
      <c r="C121" s="69" t="s">
        <v>464</v>
      </c>
      <c r="D121" s="69"/>
      <c r="E121" s="69" t="s">
        <v>268</v>
      </c>
      <c r="F121" s="79" t="s">
        <v>514</v>
      </c>
      <c r="G121" s="79" t="s">
        <v>313</v>
      </c>
      <c r="H121" s="101" t="s">
        <v>519</v>
      </c>
    </row>
    <row r="122" spans="1:11" ht="29.4" thickBot="1" x14ac:dyDescent="0.35">
      <c r="A122" s="128"/>
      <c r="B122" s="72" t="s">
        <v>353</v>
      </c>
      <c r="C122" s="72" t="s">
        <v>520</v>
      </c>
      <c r="D122" s="72"/>
      <c r="E122" s="72" t="s">
        <v>268</v>
      </c>
      <c r="F122" s="83" t="s">
        <v>514</v>
      </c>
      <c r="G122" s="83" t="s">
        <v>372</v>
      </c>
      <c r="H122" s="103" t="s">
        <v>521</v>
      </c>
    </row>
    <row r="123" spans="1:11" ht="29.4" thickBot="1" x14ac:dyDescent="0.35">
      <c r="A123" s="126" t="s">
        <v>522</v>
      </c>
      <c r="B123" s="70" t="s">
        <v>274</v>
      </c>
      <c r="C123" s="70" t="s">
        <v>472</v>
      </c>
      <c r="D123" s="70"/>
      <c r="E123" s="70" t="s">
        <v>276</v>
      </c>
      <c r="F123" s="76" t="s">
        <v>523</v>
      </c>
      <c r="G123" s="76" t="s">
        <v>317</v>
      </c>
      <c r="H123" s="104" t="s">
        <v>524</v>
      </c>
      <c r="J123" s="100"/>
    </row>
    <row r="124" spans="1:11" ht="28.8" x14ac:dyDescent="0.3">
      <c r="A124" s="127"/>
      <c r="B124" s="69" t="s">
        <v>350</v>
      </c>
      <c r="C124" s="69" t="s">
        <v>525</v>
      </c>
      <c r="D124" s="69"/>
      <c r="E124" s="69" t="s">
        <v>276</v>
      </c>
      <c r="F124" s="79" t="s">
        <v>523</v>
      </c>
      <c r="G124" s="79" t="s">
        <v>317</v>
      </c>
      <c r="H124" s="105" t="s">
        <v>524</v>
      </c>
    </row>
    <row r="125" spans="1:11" ht="29.4" thickBot="1" x14ac:dyDescent="0.35">
      <c r="A125" s="128"/>
      <c r="B125" s="72" t="s">
        <v>353</v>
      </c>
      <c r="C125" s="72" t="s">
        <v>526</v>
      </c>
      <c r="D125" s="72"/>
      <c r="E125" s="72" t="s">
        <v>276</v>
      </c>
      <c r="F125" s="83" t="s">
        <v>523</v>
      </c>
      <c r="G125" s="83" t="s">
        <v>317</v>
      </c>
      <c r="H125" s="103" t="s">
        <v>527</v>
      </c>
    </row>
    <row r="126" spans="1:11" ht="58.2" thickBot="1" x14ac:dyDescent="0.35">
      <c r="A126" s="126" t="s">
        <v>528</v>
      </c>
      <c r="B126" s="70" t="s">
        <v>265</v>
      </c>
      <c r="C126" s="70" t="s">
        <v>346</v>
      </c>
      <c r="D126" s="70"/>
      <c r="E126" s="70" t="s">
        <v>268</v>
      </c>
      <c r="F126" s="76" t="s">
        <v>529</v>
      </c>
      <c r="G126" s="76" t="s">
        <v>310</v>
      </c>
      <c r="H126" s="104" t="s">
        <v>530</v>
      </c>
    </row>
    <row r="127" spans="1:11" ht="72.599999999999994" thickBot="1" x14ac:dyDescent="0.35">
      <c r="A127" s="127"/>
      <c r="B127" s="69" t="s">
        <v>265</v>
      </c>
      <c r="C127" s="69" t="s">
        <v>366</v>
      </c>
      <c r="D127" s="69" t="s">
        <v>531</v>
      </c>
      <c r="E127" s="69" t="s">
        <v>268</v>
      </c>
      <c r="F127" s="79" t="s">
        <v>529</v>
      </c>
      <c r="G127" s="79" t="s">
        <v>270</v>
      </c>
      <c r="H127" s="101" t="s">
        <v>532</v>
      </c>
      <c r="K127" s="100"/>
    </row>
    <row r="128" spans="1:11" x14ac:dyDescent="0.3">
      <c r="A128" s="127"/>
      <c r="B128" s="69" t="s">
        <v>274</v>
      </c>
      <c r="C128" s="69" t="s">
        <v>348</v>
      </c>
      <c r="D128" s="69" t="s">
        <v>533</v>
      </c>
      <c r="E128" s="69" t="s">
        <v>276</v>
      </c>
      <c r="F128" s="79" t="s">
        <v>529</v>
      </c>
      <c r="G128" s="79" t="s">
        <v>317</v>
      </c>
      <c r="H128" s="62" t="s">
        <v>534</v>
      </c>
    </row>
    <row r="129" spans="1:10" x14ac:dyDescent="0.3">
      <c r="A129" s="127"/>
      <c r="B129" s="69" t="s">
        <v>274</v>
      </c>
      <c r="C129" s="69" t="s">
        <v>382</v>
      </c>
      <c r="D129" s="69" t="s">
        <v>535</v>
      </c>
      <c r="E129" s="69" t="s">
        <v>276</v>
      </c>
      <c r="F129" s="79" t="s">
        <v>529</v>
      </c>
      <c r="G129" s="79" t="s">
        <v>317</v>
      </c>
      <c r="H129" s="107" t="s">
        <v>536</v>
      </c>
    </row>
    <row r="130" spans="1:10" x14ac:dyDescent="0.3">
      <c r="A130" s="127"/>
      <c r="B130" s="69" t="s">
        <v>350</v>
      </c>
      <c r="C130" s="69" t="s">
        <v>363</v>
      </c>
      <c r="D130" s="69" t="s">
        <v>537</v>
      </c>
      <c r="E130" s="69" t="s">
        <v>276</v>
      </c>
      <c r="F130" s="79" t="s">
        <v>529</v>
      </c>
      <c r="G130" s="79" t="s">
        <v>352</v>
      </c>
      <c r="H130" s="62" t="s">
        <v>538</v>
      </c>
    </row>
    <row r="131" spans="1:10" ht="43.2" x14ac:dyDescent="0.3">
      <c r="A131" s="127"/>
      <c r="B131" s="73" t="s">
        <v>296</v>
      </c>
      <c r="C131" s="73" t="s">
        <v>294</v>
      </c>
      <c r="D131" s="73" t="s">
        <v>539</v>
      </c>
      <c r="E131" s="85"/>
      <c r="F131" s="95"/>
      <c r="G131" s="106"/>
      <c r="H131" s="101" t="s">
        <v>540</v>
      </c>
    </row>
    <row r="132" spans="1:10" ht="43.8" thickBot="1" x14ac:dyDescent="0.35">
      <c r="A132" s="128"/>
      <c r="B132" s="72" t="s">
        <v>353</v>
      </c>
      <c r="C132" s="72" t="s">
        <v>541</v>
      </c>
      <c r="D132" s="72"/>
      <c r="E132" s="72" t="s">
        <v>172</v>
      </c>
      <c r="F132" s="83" t="s">
        <v>529</v>
      </c>
      <c r="G132" s="83" t="s">
        <v>372</v>
      </c>
      <c r="H132" s="103" t="s">
        <v>542</v>
      </c>
    </row>
    <row r="133" spans="1:10" ht="86.4" x14ac:dyDescent="0.3">
      <c r="A133" s="126" t="s">
        <v>543</v>
      </c>
      <c r="B133" s="70" t="s">
        <v>265</v>
      </c>
      <c r="C133" s="70" t="s">
        <v>544</v>
      </c>
      <c r="D133" s="70"/>
      <c r="E133" s="70" t="s">
        <v>172</v>
      </c>
      <c r="F133" s="76" t="s">
        <v>545</v>
      </c>
      <c r="G133" s="76" t="s">
        <v>307</v>
      </c>
      <c r="H133" s="104" t="s">
        <v>546</v>
      </c>
    </row>
    <row r="134" spans="1:10" ht="15" thickBot="1" x14ac:dyDescent="0.35">
      <c r="A134" s="127"/>
      <c r="B134" s="69" t="s">
        <v>274</v>
      </c>
      <c r="C134" s="86" t="s">
        <v>360</v>
      </c>
      <c r="D134" s="69" t="s">
        <v>432</v>
      </c>
      <c r="E134" s="74" t="s">
        <v>276</v>
      </c>
      <c r="F134" s="77"/>
      <c r="G134" s="79" t="s">
        <v>547</v>
      </c>
      <c r="H134" s="62" t="s">
        <v>548</v>
      </c>
    </row>
    <row r="135" spans="1:10" ht="15" thickBot="1" x14ac:dyDescent="0.35">
      <c r="A135" s="127"/>
      <c r="B135" s="69" t="s">
        <v>274</v>
      </c>
      <c r="C135" s="69" t="s">
        <v>549</v>
      </c>
      <c r="D135" s="69" t="s">
        <v>550</v>
      </c>
      <c r="E135" s="69" t="s">
        <v>276</v>
      </c>
      <c r="F135" s="79" t="s">
        <v>545</v>
      </c>
      <c r="G135" s="79" t="s">
        <v>317</v>
      </c>
      <c r="H135" s="62" t="s">
        <v>548</v>
      </c>
      <c r="J135" s="100"/>
    </row>
    <row r="136" spans="1:10" x14ac:dyDescent="0.3">
      <c r="A136" s="127"/>
      <c r="B136" s="69" t="s">
        <v>350</v>
      </c>
      <c r="C136" s="69" t="s">
        <v>551</v>
      </c>
      <c r="D136" s="69" t="s">
        <v>319</v>
      </c>
      <c r="E136" s="69" t="s">
        <v>276</v>
      </c>
      <c r="F136" s="79" t="s">
        <v>545</v>
      </c>
      <c r="G136" s="79" t="s">
        <v>352</v>
      </c>
      <c r="H136" s="62" t="s">
        <v>548</v>
      </c>
    </row>
    <row r="137" spans="1:10" ht="86.4" x14ac:dyDescent="0.3">
      <c r="A137" s="127"/>
      <c r="B137" s="69" t="s">
        <v>296</v>
      </c>
      <c r="C137" s="69" t="s">
        <v>552</v>
      </c>
      <c r="D137" s="69"/>
      <c r="E137" s="69" t="s">
        <v>172</v>
      </c>
      <c r="F137" s="79" t="s">
        <v>545</v>
      </c>
      <c r="G137" s="79" t="s">
        <v>553</v>
      </c>
      <c r="H137" s="101" t="s">
        <v>546</v>
      </c>
    </row>
    <row r="138" spans="1:10" ht="87" thickBot="1" x14ac:dyDescent="0.35">
      <c r="A138" s="128"/>
      <c r="B138" s="72" t="s">
        <v>353</v>
      </c>
      <c r="C138" s="72" t="s">
        <v>554</v>
      </c>
      <c r="D138" s="72" t="s">
        <v>555</v>
      </c>
      <c r="E138" s="72" t="s">
        <v>172</v>
      </c>
      <c r="F138" s="83" t="s">
        <v>545</v>
      </c>
      <c r="G138" s="83" t="s">
        <v>317</v>
      </c>
      <c r="H138" s="102" t="s">
        <v>546</v>
      </c>
    </row>
  </sheetData>
  <mergeCells count="28">
    <mergeCell ref="A123:A125"/>
    <mergeCell ref="A126:A132"/>
    <mergeCell ref="A133:A138"/>
    <mergeCell ref="A95:A101"/>
    <mergeCell ref="A102:A103"/>
    <mergeCell ref="A104:A108"/>
    <mergeCell ref="A109:A112"/>
    <mergeCell ref="A113:A118"/>
    <mergeCell ref="A119:A122"/>
    <mergeCell ref="A82:A84"/>
    <mergeCell ref="H83:H84"/>
    <mergeCell ref="A85:A90"/>
    <mergeCell ref="H97:H98"/>
    <mergeCell ref="A91:A94"/>
    <mergeCell ref="A72:A77"/>
    <mergeCell ref="A78:A81"/>
    <mergeCell ref="A3:A14"/>
    <mergeCell ref="H3:H14"/>
    <mergeCell ref="A16:A29"/>
    <mergeCell ref="H16:H19"/>
    <mergeCell ref="A30:A36"/>
    <mergeCell ref="H32:H33"/>
    <mergeCell ref="A37:A42"/>
    <mergeCell ref="A43:A51"/>
    <mergeCell ref="A52:A61"/>
    <mergeCell ref="A62:A67"/>
    <mergeCell ref="A68:A71"/>
    <mergeCell ref="H79:H80"/>
  </mergeCells>
  <hyperlinks>
    <hyperlink ref="H39" r:id="rId1" xr:uid="{FBF5D30A-CC72-4D04-B56E-56F73D8E33C9}"/>
    <hyperlink ref="H62" r:id="rId2" location="section-3.3" xr:uid="{D8487C1E-4AC4-4CFD-A13B-7E800AC78BB4}"/>
    <hyperlink ref="H44" r:id="rId3" xr:uid="{98DE8363-8120-4CF7-B3C2-B4377EAD61D5}"/>
    <hyperlink ref="H78" r:id="rId4" xr:uid="{5EB68469-534F-498D-BA70-FAA1E2B97453}"/>
    <hyperlink ref="H48" r:id="rId5" xr:uid="{C56AE3BF-FAE5-4BD6-A255-A9AE77E23EB7}"/>
    <hyperlink ref="H46" r:id="rId6" xr:uid="{0B46BA0F-B900-43FF-A618-AAA0D3E99C2E}"/>
    <hyperlink ref="H52" r:id="rId7" xr:uid="{43231A13-C0E2-4212-8F1F-45E34A4FB77F}"/>
    <hyperlink ref="H81" r:id="rId8" xr:uid="{427CD003-79B7-4A40-8D5B-48DDE8CC5203}"/>
    <hyperlink ref="H45" r:id="rId9" xr:uid="{1A334618-8AC6-4BD7-B0BB-1DCE8251B142}"/>
    <hyperlink ref="H87" r:id="rId10" xr:uid="{633CFF91-FD7C-445A-89B2-01B0F695C3C6}"/>
    <hyperlink ref="H90" r:id="rId11" xr:uid="{71BA3F3B-8C7A-4A37-900D-9A4222C4E2B7}"/>
    <hyperlink ref="H50" r:id="rId12" xr:uid="{D14E21EF-F4B5-4748-A947-4DFD601F99E1}"/>
    <hyperlink ref="H79" r:id="rId13" xr:uid="{82E246BE-8B4C-4D6B-A623-E4E6F9533C77}"/>
    <hyperlink ref="H138" r:id="rId14" location=":~:text=Figure%201:%20DTLS%201.2%20handshake,also%20use%20the%20random%20nonces" xr:uid="{3F96492A-ACA2-4721-B5BD-8D0995F92D33}"/>
    <hyperlink ref="H137" r:id="rId15" location=":~:text=Figure%201:%20DTLS%201.2%20handshake,also%20use%20the%20random%20nonces" xr:uid="{6CB333C7-7B1C-4F93-BBA9-76E77FD0E9E3}"/>
    <hyperlink ref="H133" r:id="rId16" location=":~:text=Figure%201:%20DTLS%201.2%20handshake,also%20use%20the%20random%20nonces" xr:uid="{121B0E54-A433-4165-AE68-84A744CCE28F}"/>
    <hyperlink ref="H120" r:id="rId17" xr:uid="{FAD7BCE1-3B17-4C5B-B1E0-38C9B0CDA004}"/>
    <hyperlink ref="H51" r:id="rId18" xr:uid="{C6DEDCD0-1C00-4168-8C2B-CC1B6B4495CE}"/>
    <hyperlink ref="H126" r:id="rId19" xr:uid="{F3DF9525-2C05-464D-92BF-BAC2845DE269}"/>
    <hyperlink ref="H86" r:id="rId20" xr:uid="{C8503CFF-7B16-44C1-AA1F-E3487F4490C7}"/>
    <hyperlink ref="H61" r:id="rId21" xr:uid="{A83DBA84-E537-4CCA-897A-195381F96D06}"/>
    <hyperlink ref="H113" r:id="rId22" location="section-7.1" xr:uid="{787902B2-8C7D-4CD1-98FE-AA37CF29D450}"/>
    <hyperlink ref="H82" r:id="rId23" xr:uid="{86025CC9-1346-4878-BB2D-119E22C46D70}"/>
    <hyperlink ref="H83" r:id="rId24" xr:uid="{F834D2E6-95F1-4CB4-9056-28FF5F92279D}"/>
    <hyperlink ref="H106" r:id="rId25" xr:uid="{B1694798-012A-4AAB-A79B-942A3EE5909B}"/>
    <hyperlink ref="H107" r:id="rId26" xr:uid="{215EFC09-D054-4093-8CC3-962B81527FA2}"/>
    <hyperlink ref="H3" r:id="rId27" xr:uid="{75BB9CAE-C96A-4BEE-958D-2B045BDFE67C}"/>
    <hyperlink ref="H85" r:id="rId28" xr:uid="{A380329C-4B36-4659-9D0F-7186E157C5DB}"/>
    <hyperlink ref="H114" r:id="rId29" xr:uid="{AD24BC8A-78DC-4F21-ACA5-905537B37AAF}"/>
    <hyperlink ref="H115" r:id="rId30" xr:uid="{BCF6E542-6784-445A-AB21-0488CF52B392}"/>
    <hyperlink ref="H116" r:id="rId31" xr:uid="{F71AFCC2-6393-48EE-AF38-120055BDEC92}"/>
    <hyperlink ref="H117" r:id="rId32" xr:uid="{4542180C-4E65-4052-AEB2-7B8F0264C363}"/>
    <hyperlink ref="H118" r:id="rId33" xr:uid="{BD08BE9B-8DEF-46D0-BA56-C497E7098F4D}"/>
    <hyperlink ref="H96" r:id="rId34" xr:uid="{101D55C3-49D9-4531-9B0D-2EA05DD1C4FF}"/>
    <hyperlink ref="H109" r:id="rId35" xr:uid="{47F09D40-8D28-48C0-AF3C-F75AF2340ABE}"/>
    <hyperlink ref="H97" r:id="rId36" xr:uid="{2F8B05B5-7F80-4A38-BBDA-A3C433CF60AA}"/>
    <hyperlink ref="H111" r:id="rId37" xr:uid="{F98BB582-721C-4757-9DFC-4DE0D24FC2E0}"/>
    <hyperlink ref="H132" r:id="rId38" xr:uid="{85F0B8DF-6087-4C5F-8ECE-67DC889B3262}"/>
    <hyperlink ref="H104" r:id="rId39" xr:uid="{7826E936-ABC9-4A2F-AFF9-6BF581827D83}"/>
    <hyperlink ref="H105" r:id="rId40" xr:uid="{1617C824-5417-4CD2-8688-B8525CF76D0A}"/>
    <hyperlink ref="H102" r:id="rId41" xr:uid="{AEF0B5EE-4826-43EA-B524-575950206C6C}"/>
    <hyperlink ref="H92" r:id="rId42" xr:uid="{67A8711B-B8F1-45C9-8FA7-41594D922D98}"/>
    <hyperlink ref="H16" r:id="rId43" xr:uid="{C9D2E617-D2E7-487E-9303-0CDC95888359}"/>
    <hyperlink ref="H93" r:id="rId44" location="section-6.2" xr:uid="{48746604-2B08-4953-A6CE-C5E59C05C6BA}"/>
    <hyperlink ref="H27" r:id="rId45" xr:uid="{08C2DF7F-E3D2-4831-B644-768191568138}"/>
    <hyperlink ref="H28" r:id="rId46" xr:uid="{2F299E15-6306-4C23-8D06-54557C0670C5}"/>
    <hyperlink ref="H131" r:id="rId47" xr:uid="{23F69506-B9B5-4B65-B2B7-57D7AD2E7EEF}"/>
    <hyperlink ref="H29" r:id="rId48" xr:uid="{332E49A9-0EFA-43F6-8E4E-0D9FF87C7DB3}"/>
    <hyperlink ref="H94" r:id="rId49" xr:uid="{B4015FCF-9F64-40AA-B8A1-F383FF6352EC}"/>
    <hyperlink ref="H127" r:id="rId50" xr:uid="{92EAA5F6-A82B-4B2F-AA88-E3A3459B57DA}"/>
    <hyperlink ref="H121" r:id="rId51" xr:uid="{0F2BB74D-82F8-46EA-85F9-29B33BC0017A}"/>
    <hyperlink ref="H123" r:id="rId52" xr:uid="{291D234B-0FEB-4900-BDA8-FA76B5AB29F1}"/>
    <hyperlink ref="H31" r:id="rId53" location="section-6.3" xr:uid="{40B4C292-58C8-48CE-97EE-5DC541B12EC3}"/>
    <hyperlink ref="H32" r:id="rId54" xr:uid="{4BA6629B-F338-4863-8104-0D8CC4284705}"/>
    <hyperlink ref="H119" r:id="rId55" xr:uid="{E5B20EA9-D691-4F91-B936-E64B2B5DE514}"/>
    <hyperlink ref="H122" r:id="rId56" xr:uid="{80B48DC0-8FAC-4F74-870E-C029C1D85123}"/>
    <hyperlink ref="H77" r:id="rId57" xr:uid="{5AE9FDF8-688D-4A9C-824A-D82738B4F500}"/>
    <hyperlink ref="H125" r:id="rId58" xr:uid="{725F7242-B43F-4D61-9DE0-9B8D68B4F70E}"/>
    <hyperlink ref="H72" r:id="rId59" xr:uid="{1124CC70-6182-4C29-AE2C-ADC8BF6A2303}"/>
    <hyperlink ref="H71" r:id="rId60" xr:uid="{38024CC6-532E-43C5-B9CD-251E1A2B5380}"/>
    <hyperlink ref="H68" r:id="rId61" xr:uid="{3DDB64A5-192D-487E-B897-42F7EA35848C}"/>
  </hyperlinks>
  <pageMargins left="0.7" right="0.7" top="0.75" bottom="0.75" header="0.3" footer="0.3"/>
  <legacyDrawing r:id="rId6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7"/>
  <sheetViews>
    <sheetView topLeftCell="A6" zoomScale="89" workbookViewId="0">
      <selection activeCell="A31" sqref="A31"/>
    </sheetView>
  </sheetViews>
  <sheetFormatPr defaultColWidth="9.109375" defaultRowHeight="15.6" x14ac:dyDescent="0.3"/>
  <cols>
    <col min="1" max="1" width="120" style="3" customWidth="1"/>
    <col min="2" max="16384" width="9.109375" style="3"/>
  </cols>
  <sheetData>
    <row r="1" spans="1:1" x14ac:dyDescent="0.3">
      <c r="A1" s="42" t="s">
        <v>556</v>
      </c>
    </row>
    <row r="2" spans="1:1" x14ac:dyDescent="0.3">
      <c r="A2" s="26"/>
    </row>
    <row r="3" spans="1:1" x14ac:dyDescent="0.3">
      <c r="A3" s="42" t="s">
        <v>557</v>
      </c>
    </row>
    <row r="4" spans="1:1" ht="31.2" x14ac:dyDescent="0.3">
      <c r="A4" s="26" t="s">
        <v>558</v>
      </c>
    </row>
    <row r="5" spans="1:1" x14ac:dyDescent="0.3">
      <c r="A5" s="26"/>
    </row>
    <row r="6" spans="1:1" x14ac:dyDescent="0.3">
      <c r="A6" s="42" t="s">
        <v>559</v>
      </c>
    </row>
    <row r="7" spans="1:1" x14ac:dyDescent="0.3">
      <c r="A7" s="42" t="s">
        <v>560</v>
      </c>
    </row>
    <row r="8" spans="1:1" x14ac:dyDescent="0.3">
      <c r="A8" s="26" t="s">
        <v>561</v>
      </c>
    </row>
    <row r="9" spans="1:1" x14ac:dyDescent="0.3">
      <c r="A9" s="26" t="s">
        <v>562</v>
      </c>
    </row>
    <row r="10" spans="1:1" x14ac:dyDescent="0.3">
      <c r="A10" s="26"/>
    </row>
    <row r="11" spans="1:1" x14ac:dyDescent="0.3">
      <c r="A11" s="42" t="s">
        <v>563</v>
      </c>
    </row>
    <row r="12" spans="1:1" x14ac:dyDescent="0.3">
      <c r="A12" s="26" t="s">
        <v>564</v>
      </c>
    </row>
    <row r="13" spans="1:1" x14ac:dyDescent="0.3">
      <c r="A13" s="26" t="s">
        <v>565</v>
      </c>
    </row>
    <row r="14" spans="1:1" x14ac:dyDescent="0.3">
      <c r="A14" s="26"/>
    </row>
    <row r="15" spans="1:1" x14ac:dyDescent="0.3">
      <c r="A15" s="42" t="s">
        <v>566</v>
      </c>
    </row>
    <row r="16" spans="1:1" x14ac:dyDescent="0.3">
      <c r="A16" s="26" t="s">
        <v>567</v>
      </c>
    </row>
    <row r="17" spans="1:1" x14ac:dyDescent="0.3">
      <c r="A17" s="26" t="s">
        <v>568</v>
      </c>
    </row>
    <row r="18" spans="1:1" x14ac:dyDescent="0.3">
      <c r="A18" s="26"/>
    </row>
    <row r="19" spans="1:1" x14ac:dyDescent="0.3">
      <c r="A19" s="42" t="s">
        <v>569</v>
      </c>
    </row>
    <row r="20" spans="1:1" x14ac:dyDescent="0.3">
      <c r="A20" s="57" t="s">
        <v>570</v>
      </c>
    </row>
    <row r="21" spans="1:1" x14ac:dyDescent="0.3">
      <c r="A21" s="26"/>
    </row>
    <row r="22" spans="1:1" x14ac:dyDescent="0.3">
      <c r="A22" s="42" t="s">
        <v>571</v>
      </c>
    </row>
    <row r="23" spans="1:1" x14ac:dyDescent="0.3">
      <c r="A23" s="26" t="s">
        <v>572</v>
      </c>
    </row>
    <row r="24" spans="1:1" x14ac:dyDescent="0.3">
      <c r="A24" s="26" t="s">
        <v>573</v>
      </c>
    </row>
    <row r="25" spans="1:1" x14ac:dyDescent="0.3">
      <c r="A25" s="26"/>
    </row>
    <row r="26" spans="1:1" x14ac:dyDescent="0.3">
      <c r="A26" s="42" t="s">
        <v>574</v>
      </c>
    </row>
    <row r="27" spans="1:1" x14ac:dyDescent="0.3">
      <c r="A27" s="26" t="s">
        <v>575</v>
      </c>
    </row>
    <row r="28" spans="1:1" x14ac:dyDescent="0.3">
      <c r="A28" s="26" t="s">
        <v>576</v>
      </c>
    </row>
    <row r="29" spans="1:1" x14ac:dyDescent="0.3">
      <c r="A29" s="26" t="s">
        <v>577</v>
      </c>
    </row>
    <row r="30" spans="1:1" x14ac:dyDescent="0.3">
      <c r="A30" s="26"/>
    </row>
    <row r="31" spans="1:1" x14ac:dyDescent="0.3">
      <c r="A31" s="53" t="s">
        <v>578</v>
      </c>
    </row>
    <row r="32" spans="1:1" x14ac:dyDescent="0.3">
      <c r="A32" s="26" t="s">
        <v>579</v>
      </c>
    </row>
    <row r="33" spans="1:1" x14ac:dyDescent="0.3">
      <c r="A33" s="26"/>
    </row>
    <row r="34" spans="1:1" x14ac:dyDescent="0.3">
      <c r="A34" s="26" t="s">
        <v>580</v>
      </c>
    </row>
    <row r="35" spans="1:1" x14ac:dyDescent="0.3">
      <c r="A35" s="26" t="s">
        <v>581</v>
      </c>
    </row>
    <row r="36" spans="1:1" x14ac:dyDescent="0.3">
      <c r="A36" s="26" t="s">
        <v>582</v>
      </c>
    </row>
    <row r="37" spans="1:1" x14ac:dyDescent="0.3">
      <c r="A37" s="26" t="s">
        <v>583</v>
      </c>
    </row>
    <row r="38" spans="1:1" x14ac:dyDescent="0.3">
      <c r="A38" s="26" t="s">
        <v>584</v>
      </c>
    </row>
    <row r="39" spans="1:1" x14ac:dyDescent="0.3">
      <c r="A39" s="26" t="s">
        <v>585</v>
      </c>
    </row>
    <row r="40" spans="1:1" x14ac:dyDescent="0.3">
      <c r="A40" s="26"/>
    </row>
    <row r="41" spans="1:1" x14ac:dyDescent="0.3">
      <c r="A41" s="26" t="s">
        <v>586</v>
      </c>
    </row>
    <row r="42" spans="1:1" x14ac:dyDescent="0.3">
      <c r="A42" s="42" t="s">
        <v>587</v>
      </c>
    </row>
    <row r="43" spans="1:1" x14ac:dyDescent="0.3">
      <c r="A43" s="42" t="s">
        <v>588</v>
      </c>
    </row>
    <row r="44" spans="1:1" x14ac:dyDescent="0.3">
      <c r="A44" s="58" t="s">
        <v>589</v>
      </c>
    </row>
    <row r="45" spans="1:1" x14ac:dyDescent="0.3">
      <c r="A45" s="42" t="s">
        <v>590</v>
      </c>
    </row>
    <row r="46" spans="1:1" x14ac:dyDescent="0.3">
      <c r="A46" s="42" t="s">
        <v>591</v>
      </c>
    </row>
    <row r="47" spans="1:1" x14ac:dyDescent="0.3">
      <c r="A47" s="26" t="s">
        <v>592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BEF8E2D457F84B9390E0AC0FB29546" ma:contentTypeVersion="19" ma:contentTypeDescription="Create a new document." ma:contentTypeScope="" ma:versionID="3aede05d3f6ac578e6de9334549120c7">
  <xsd:schema xmlns:xsd="http://www.w3.org/2001/XMLSchema" xmlns:xs="http://www.w3.org/2001/XMLSchema" xmlns:p="http://schemas.microsoft.com/office/2006/metadata/properties" xmlns:ns2="f70376b9-c905-44a1-8a12-0ad09fe0201a" xmlns:ns3="55318c69-59b6-4723-9e25-ac2dc4392241" targetNamespace="http://schemas.microsoft.com/office/2006/metadata/properties" ma:root="true" ma:fieldsID="e24b7832b77bc3b4acf091ff072ab763" ns2:_="" ns3:_="">
    <xsd:import namespace="f70376b9-c905-44a1-8a12-0ad09fe0201a"/>
    <xsd:import namespace="55318c69-59b6-4723-9e25-ac2dc4392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W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MO" minOccurs="0"/>
                <xsd:element ref="ns2:Enginee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376b9-c905-44a1-8a12-0ad09fe02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W" ma:index="12" nillable="true" ma:displayName="TW" ma:format="Dropdown" ma:list="UserInfo" ma:SharePointGroup="0" ma:internalName="TW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b92d9f7-1c6d-4d0a-b22e-190e4522ca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MO" ma:index="20" nillable="true" ma:displayName="PMO" ma:format="Dropdown" ma:list="UserInfo" ma:SharePointGroup="0" ma:internalName="PM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gineer" ma:index="21" nillable="true" ma:displayName="Engineer" ma:format="Dropdown" ma:list="UserInfo" ma:SharePointGroup="0" ma:internalName="Engine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18c69-59b6-4723-9e25-ac2dc439224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9f82de-7429-4b0c-b4d5-158c1ffb8593}" ma:internalName="TaxCatchAll" ma:showField="CatchAllData" ma:web="55318c69-59b6-4723-9e25-ac2dc43922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0376b9-c905-44a1-8a12-0ad09fe0201a">
      <Terms xmlns="http://schemas.microsoft.com/office/infopath/2007/PartnerControls"/>
    </lcf76f155ced4ddcb4097134ff3c332f>
    <PMO xmlns="f70376b9-c905-44a1-8a12-0ad09fe0201a">
      <UserInfo>
        <DisplayName/>
        <AccountId xsi:nil="true"/>
        <AccountType/>
      </UserInfo>
    </PMO>
    <TW xmlns="f70376b9-c905-44a1-8a12-0ad09fe0201a">
      <UserInfo>
        <DisplayName/>
        <AccountId xsi:nil="true"/>
        <AccountType/>
      </UserInfo>
    </TW>
    <Engineer xmlns="f70376b9-c905-44a1-8a12-0ad09fe0201a">
      <UserInfo>
        <DisplayName/>
        <AccountId xsi:nil="true"/>
        <AccountType/>
      </UserInfo>
    </Engineer>
    <TaxCatchAll xmlns="55318c69-59b6-4723-9e25-ac2dc4392241" xsi:nil="true"/>
  </documentManagement>
</p:properties>
</file>

<file path=customXml/itemProps1.xml><?xml version="1.0" encoding="utf-8"?>
<ds:datastoreItem xmlns:ds="http://schemas.openxmlformats.org/officeDocument/2006/customXml" ds:itemID="{6C5AE3CC-E7EF-4B73-892A-43B6CAB9F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0376b9-c905-44a1-8a12-0ad09fe0201a"/>
    <ds:schemaRef ds:uri="55318c69-59b6-4723-9e25-ac2dc4392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96EC0-9363-4708-A06F-6E68A7701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E30C41-B4DC-4B03-9348-2A2A0451ED3E}">
  <ds:schemaRefs>
    <ds:schemaRef ds:uri="http://schemas.microsoft.com/office/2006/metadata/properties"/>
    <ds:schemaRef ds:uri="http://schemas.microsoft.com/office/infopath/2007/PartnerControls"/>
    <ds:schemaRef ds:uri="f70376b9-c905-44a1-8a12-0ad09fe0201a"/>
    <ds:schemaRef ds:uri="55318c69-59b6-4723-9e25-ac2dc43922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0_Inventory</vt:lpstr>
      <vt:lpstr>1_SBOM</vt:lpstr>
      <vt:lpstr>2_CBOM</vt:lpstr>
      <vt:lpstr>3_RiskRegister</vt:lpstr>
      <vt:lpstr>4_RiskAssessment</vt:lpstr>
      <vt:lpstr>5_RiskMatrix</vt:lpstr>
      <vt:lpstr>6_ProtocolCryptoMap</vt:lpstr>
      <vt:lpstr>00_ReadMe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Muhammad Farzul Nizam Zolkifli</cp:lastModifiedBy>
  <cp:revision/>
  <dcterms:created xsi:type="dcterms:W3CDTF">2025-07-13T13:37:01Z</dcterms:created>
  <dcterms:modified xsi:type="dcterms:W3CDTF">2026-01-04T18:06:59Z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0x01010084BEF8E2D457F84B9390E0AC0FB29546</vt:lpwstr>
  </property>
  <property fmtid="{D5CDD505-2E9C-101B-9397-08002B2CF9AE}" pid="3" name="MediaServiceImageTags">
    <vt:lpwstr/>
  </property>
</Properties>
</file>